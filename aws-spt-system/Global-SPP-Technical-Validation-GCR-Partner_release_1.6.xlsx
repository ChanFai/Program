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Chen\OneDrive\桌面\"/>
    </mc:Choice>
  </mc:AlternateContent>
  <xr:revisionPtr revIDLastSave="0" documentId="13_ncr:1_{427D4993-FC7F-49E0-A896-1767DD4ED2C0}" xr6:coauthVersionLast="47" xr6:coauthVersionMax="47" xr10:uidLastSave="{00000000-0000-0000-0000-000000000000}"/>
  <bookViews>
    <workbookView xWindow="-98" yWindow="-98" windowWidth="19396" windowHeight="11475" activeTab="1" xr2:uid="{06B47628-3F44-4C85-9555-0BA022D7F7D3}"/>
  </bookViews>
  <sheets>
    <sheet name="摘要" sheetId="4" r:id="rId1"/>
    <sheet name="SPP 技术验证表"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0" i="4" l="1"/>
  <c r="G15" i="4"/>
  <c r="G14" i="4"/>
  <c r="G13" i="4"/>
  <c r="G12" i="4"/>
  <c r="G9" i="4"/>
  <c r="G8" i="4"/>
  <c r="G7" i="4"/>
  <c r="G6" i="4"/>
  <c r="G5" i="4"/>
  <c r="J16" i="4"/>
  <c r="I16" i="4"/>
  <c r="H16" i="4"/>
  <c r="G16" i="4" l="1"/>
</calcChain>
</file>

<file path=xl/sharedStrings.xml><?xml version="1.0" encoding="utf-8"?>
<sst xmlns="http://schemas.openxmlformats.org/spreadsheetml/2006/main" count="340" uniqueCount="235">
  <si>
    <t>标题</t>
  </si>
  <si>
    <t>计费和成本管理</t>
  </si>
  <si>
    <t>BIL-001</t>
  </si>
  <si>
    <t>管理 AWS 预算通知</t>
  </si>
  <si>
    <t>中等风险</t>
  </si>
  <si>
    <t>低风险</t>
  </si>
  <si>
    <t>BIL-003</t>
  </si>
  <si>
    <t>管理成本分配标签</t>
  </si>
  <si>
    <t>查看成本分配标签的文档：https://docs.aws.amazon.com/awsaccountbilling/latest/aboutv2/cost-alloc-tags.html</t>
  </si>
  <si>
    <t>解决方案提供商重新计费</t>
  </si>
  <si>
    <t>高风险</t>
  </si>
  <si>
    <t>合作伙伴使用成本和使用报告来查看 AWS 账单数据非常重要，因为这提供了有关账户中 AWS 使用成本的最详细信息。必须为 SPP 范围内的每个组织启用成本和使用情况报告。请查看成本和使用报告文档：https://docs.aws.amazon.com/cur/latest/userguide/what-is-cur.html</t>
  </si>
  <si>
    <t>关键列的描述（尤其是 lineItem/LineItemType、lineItem/UsageType 和 product/Sku）、静态列和动态列之间的区别、成本和使用情况报告架构如何不是静态的描述、混合费率和非混合费率之间的区别的描述/成本，以及为什么使用非混合费率/成本重新计费是最佳做法</t>
  </si>
  <si>
    <t>成本和使用报告为最终客户开具账单提供了宝贵的信息。深入了解报告的格式以及数据的表示方式非常重要。查看成本和使用情况报告数据字典以更好地了解关键列和列类型（静态/动态）：https://docs.aws.amazon.com/cur/latest/userguide/data-dictionary.html</t>
  </si>
  <si>
    <t>查看此知识中心文章以了解混合费率和非混合费率：https://aws.amazon.com/premiumsupport/knowledge-center/end-customer-reseller-billing</t>
  </si>
  <si>
    <t>AWS 账户管理</t>
  </si>
  <si>
    <t>ACM-001</t>
  </si>
  <si>
    <t>查看有关从帐户内关闭 AWS 帐户的文档：https://aws.amazon.com/premiumsupport/knowledge-center/close-aws-account/</t>
  </si>
  <si>
    <t>ACM-007</t>
  </si>
  <si>
    <t>合作伙伴生命周期管理文档的演示，展示了创建、设置、持续管理和退出/关闭项目管理账户、最终用户报告 (EUR) 以及最终客户及其 AWS 账户的生命周期管理的记录流程</t>
  </si>
  <si>
    <t>解决方案提供商账户管理</t>
  </si>
  <si>
    <t>ACM-008</t>
  </si>
  <si>
    <t>ACM-009</t>
  </si>
  <si>
    <t>ACM-012</t>
  </si>
  <si>
    <t>ACM-013</t>
  </si>
  <si>
    <t>ACM-016</t>
  </si>
  <si>
    <t>购买预留容量（例如预留实例、Savings Plans）</t>
  </si>
  <si>
    <t>解决方案提供商帐户控制</t>
  </si>
  <si>
    <t>在关联账户中禁用 Cost Explorer 可见性</t>
  </si>
  <si>
    <t>防止最终客户在项目管理帐户中创建和查看成本和使用情况报告</t>
  </si>
  <si>
    <t>为最终客户提供 AWS 成本可见性，而不会暴露与计划相关的好处（折扣等）</t>
  </si>
  <si>
    <t>解决方案提供商客户租赁最佳实践</t>
  </si>
  <si>
    <t>解决方案提供商帐户所有权转让和离职最佳实践</t>
  </si>
  <si>
    <t>解决方案提供商沟通最佳实践</t>
  </si>
  <si>
    <t>AWS 根用户管理</t>
  </si>
  <si>
    <t>ARC-001</t>
  </si>
  <si>
    <t>仅在例外情况下使用 root 用户</t>
  </si>
  <si>
    <t>root 用户可以无限制地访问您的账户及其资源，仅在例外情况下使用它有助于保护您的 AWS 资源。 AWS 根用户不得用于日常任务，即使是管理任务。相反，请遵循仅使用根用户创建您的第一个 AWS Identity and Access Management (IAM) 用户的最佳实践。然后安全地锁定根用户凭据，并使用它们仅执行少数帐户和服务管理任务。要查看需要您以根用户身份登录的任务，请参阅需要根用户的 AWS 任务。 FTR 不要求您主动监控根使用情况。如果您因为没有主动监控而未能通过 AWS Security Hub 中的 CIS 1.1，请在自我评估中说明这一点。</t>
  </si>
  <si>
    <t>AWS CloudTrail 最佳实践</t>
  </si>
  <si>
    <t>CTL-001</t>
  </si>
  <si>
    <t>在所有 AWS 账户和所有区域中配置 CloudTrail</t>
  </si>
  <si>
    <t>AWS CloudTrail 支持对您的 AWS 账户进行监管、合规性、运营审计和风险审计。要满足 FTR 要求，您必须为所有 AWS 账户和所有区域启用管理事件，并将这些日志聚合到一个由单独的 AWS 账户拥有的 Amazon Simple Storage Service (Amazon S3) 存储桶中。每个区域的管理事件的第一个副本是免费交付的，您只需支付 S3 存储成本。管理事件的额外副本将产生费用。如果您启用数据事件，您将为每个副本支付费用以及相关的 S3 存储费用。有关最新定价信息，请参阅 CloudTrail 定价。要了解有关 Cloud Trail 最佳实践的更多信息，请参阅此博客文章。</t>
  </si>
  <si>
    <t>AWS 身份和访问管理最佳实践</t>
  </si>
  <si>
    <t>IAM-001</t>
  </si>
  <si>
    <t>定期轮换凭据</t>
  </si>
  <si>
    <t>当您不能依赖临时凭证而需要长期凭证时，请定期轮换 IAM 访问密钥（最多每 90 天一次）。如果访问密钥在您不知情的情况下被泄露，您可以限制凭据可用于访问您的资源的时间。有关为 IAM 用户轮换访问密钥的信息，请参阅轮换访问密钥。</t>
  </si>
  <si>
    <t>请查看 AWS 预算的最佳实践文档：https://docs.aws.amazon.com/cost-management/latest/userguide/budgets-best-practices.html https://docs.aws.amazon.com/cost -management/latest/userguide/budgets-sns-policy.html</t>
  </si>
  <si>
    <t>待定</t>
  </si>
  <si>
    <t>PSA 名称/别名</t>
  </si>
  <si>
    <t>PDM 名称/别名</t>
  </si>
  <si>
    <t>技术验证日期</t>
  </si>
  <si>
    <t>通过标准</t>
    <phoneticPr fontId="4" type="noConversion"/>
  </si>
  <si>
    <t>ACM</t>
  </si>
  <si>
    <t>IAM</t>
  </si>
  <si>
    <t>合作伙伴名称</t>
    <phoneticPr fontId="4" type="noConversion"/>
  </si>
  <si>
    <t>合作伙伴参会人员</t>
    <phoneticPr fontId="4" type="noConversion"/>
  </si>
  <si>
    <t>合作伙伴区域</t>
    <phoneticPr fontId="4" type="noConversion"/>
  </si>
  <si>
    <t>检查项编号</t>
    <phoneticPr fontId="4" type="noConversion"/>
  </si>
  <si>
    <t>检查项领域</t>
    <phoneticPr fontId="4" type="noConversion"/>
  </si>
  <si>
    <t>Section Header</t>
  </si>
  <si>
    <t>Summary of controls for SPP Technical Validation</t>
  </si>
  <si>
    <t>是否满足</t>
    <phoneticPr fontId="4" type="noConversion"/>
  </si>
  <si>
    <t>管理 AWS 抵扣金(Credit)</t>
  </si>
  <si>
    <t>SPP 合作伙伴最重要的能力之一是能够及时准确地向最终客户重新计费给定月份内发生的 AWS 使用情况，并提供至少与 AWS 发票一样详细的发票（发票数据奇偶校验） ，并确保该系统可以显着扩展到当前用户群之外。为了提供这种体验，AWS 强烈建议合作伙伴利用重新计费系统以编程方式分析 AWS 成本和使用情况报告，取消任何不属于最终客户的折扣/抵扣金(Credit)/退款，并生成具有准确总数的发票。有多种方法可以解决此问题，但合作伙伴通常会利用具有 AWS SPP 功能的第三方 ISV/SaaS 解决方案，或者他们会在拥有资源的情况下构建自己的系统。</t>
  </si>
  <si>
    <t>查看 AWS Organizations 文档的整合账单，特别是“抵扣金(Credit)”和“预留实例”部分：https://docs.aws.amazon.com/awsaccountbilling/latest/aboutv2/consolidated-billing.html</t>
  </si>
  <si>
    <t>查看有关申请 AWS 抵扣金(Credit)的流程的文档：https://aws.amazon.com/premiumsupport/knowledge-center/add-aws-promotional-code/</t>
  </si>
  <si>
    <t>购买预留实例和/或Savings Plans的过程的描述或演示</t>
  </si>
  <si>
    <t>查看有关从 Organizations的主账户关闭 AWS 账户的文档：https://docs.aws.amazon.com/organizations/latest/userguide/orgs_manage_accounts_close.html</t>
  </si>
  <si>
    <t>合作伙伴将使用单点登录 (SSO) 解决方案的描述或演示，以支持合作伙伴的员工对 SPP 范围内 Organizations的主账户进行可扩展访问</t>
  </si>
  <si>
    <t>在解决方案提供商计划范围内的 Organizations中配置多区域 CloudTrail 跟踪所需的过程的演示或描述，以及检测和/或强制在所有项目管理账户中创建多区域 CloudTrail 跟踪的任何防护机制</t>
  </si>
  <si>
    <t>存储在知识库/文档中心中的文档详细说明了如何为 SPP 范围内的合作伙伴拥有的所有 AWS 账户保护根用户凭证，以及详细说明使用根用户时的场景的任何运行手册/流程文档</t>
  </si>
  <si>
    <t>存储在知识库/文档中心中的文档反映了合作伙伴针对 AWS IAM 实体的静态凭证的凭证轮换策略。如果合作伙伴有一个自动流程来通知员工有关过时的凭据和/或以编程方式轮换凭据，则可以证明这可以满足此控制</t>
  </si>
  <si>
    <t>为根帐户凭据盗用创建事件响应 (IR) 运行手册</t>
  </si>
  <si>
    <t>运行手册/流程文档/RACI 存储在知识库/文档中心中，详细说明根用户凭据被盗用时的事件响应 (IR) 程序</t>
  </si>
  <si>
    <t>详细说明对根帐户凭据盗用的适当响应的运行手册使您能够在根用户受到威胁时迅速采取行动。如果您的根账户凭证无法访问，您将需要更改您的 AWS 账户根用户密码，或者通过无法登录并提交账单或账户请求页面联系账户和账单支持。可以在此处找到运行手册的示例。</t>
  </si>
  <si>
    <t>为项目管理账户、最终客户和最终客户的 AWS 账户制定生命周期管理的书面流程</t>
  </si>
  <si>
    <t>重要的是，管理项目管理账户、最终客户和最终客户的 AWS 账户的创建、设置、持续管理和退出的流程被记录、版本化并存储在一个中央位置，例如 wiki。这确保参与 SPP 实践的所有员工都了解并遵循账户管理的最佳实践。</t>
  </si>
  <si>
    <t>配置内部员工对项目管理帐户的集中访问</t>
  </si>
  <si>
    <t>对配置 AWS 预算警报的记录过程的概述/演示，解释在系统中配置的通知/警报模版的过程</t>
    <phoneticPr fontId="4" type="noConversion"/>
  </si>
  <si>
    <t>演示如何配置和管理 AWS 托管或用户定义的成本分配标签</t>
    <phoneticPr fontId="4" type="noConversion"/>
  </si>
  <si>
    <t>演示或描述 使用 AWS 抵扣金(Credit)的过程</t>
    <phoneticPr fontId="4" type="noConversion"/>
  </si>
  <si>
    <t>SPP 合作伙伴必须具有可扩展的机制来分析 AWS 账单数据并为其最终客户生成详细、准确的发票。合作伙伴可以利用 AWS Billing Conductor、定制解决方案或第三方 ISV 解决方案满足要求。</t>
    <phoneticPr fontId="4" type="noConversion"/>
  </si>
  <si>
    <t>处理成本和使用情况报告并每月向最终客户提供账单/发票</t>
    <phoneticPr fontId="4" type="noConversion"/>
  </si>
  <si>
    <t>描述在 AWS Organization 中如何启用和禁用共享时抵扣金(Credit)、预留实例和 Savings Plans，以及合作伙伴将为多租户和单租户 SPP AWS Organizations 选择的设置的理由</t>
    <phoneticPr fontId="4" type="noConversion"/>
  </si>
  <si>
    <t>更新与 AWS 账户关联的地址,演示过程或描述流程</t>
    <phoneticPr fontId="4" type="noConversion"/>
  </si>
  <si>
    <t>演示或描述从子账户关闭 AWS 账户的过程，以及通过 AWS Organizations 关闭 AWS 账户的过程</t>
    <phoneticPr fontId="4" type="noConversion"/>
  </si>
  <si>
    <t>在关联账户中创建 IAM 角色并从 SPP 范围内 Organizations的主账户中的角色代入该角色的过程的描述或演示</t>
    <phoneticPr fontId="4" type="noConversion"/>
  </si>
  <si>
    <t>描述或演示合作伙伴用于为最终客户提供 AWS 成本可见性的机制，而不公开 SPP 计划折扣。该解决方案可以利用 AWS Billing Conductor、CUDOS 仪表板解决方案、内部工具或第三方成本分析工具</t>
    <phoneticPr fontId="4" type="noConversion"/>
  </si>
  <si>
    <t>AWS 账户的服务权变更流程 - 用于将非SPP计划的AWS 账户变更管理到SPP 管理权下的 AWS 账户</t>
    <phoneticPr fontId="4" type="noConversion"/>
  </si>
  <si>
    <r>
      <t>演示表达变更账户服务权过程的服务文档/签约文档，</t>
    </r>
    <r>
      <rPr>
        <b/>
        <sz val="10"/>
        <color theme="1"/>
        <rFont val="微软雅黑"/>
        <family val="2"/>
        <charset val="134"/>
      </rPr>
      <t>包括时间表</t>
    </r>
    <r>
      <rPr>
        <sz val="10"/>
        <color theme="1"/>
        <rFont val="微软雅黑"/>
        <family val="2"/>
        <charset val="134"/>
      </rPr>
      <t>用于更改单个 AWS 账户和多个 AWS 账户的所有权。此描述必须包括更改帐户所有权的过程,描述AWS账户来源的一方以及</t>
    </r>
    <r>
      <rPr>
        <b/>
        <sz val="10"/>
        <color theme="1"/>
        <rFont val="微软雅黑"/>
        <family val="2"/>
        <charset val="134"/>
      </rPr>
      <t>到达</t>
    </r>
    <r>
      <rPr>
        <sz val="10"/>
        <color theme="1"/>
        <rFont val="微软雅黑"/>
        <family val="2"/>
        <charset val="134"/>
      </rPr>
      <t>一方是哪里，责任人。合作伙伴必须提供 RACI 或等效文件，表明他们所记录流程中涉及的每一方的义务。合作伙伴必须提供文件证明这是一个正式的业务流程</t>
    </r>
    <phoneticPr fontId="4" type="noConversion"/>
  </si>
  <si>
    <t>AWS 账户的服务权变更流程 - 用于将已有SPP计划的AWS 账户变更管理到另一个管理权下的 AWS 账户</t>
    <phoneticPr fontId="4" type="noConversion"/>
  </si>
  <si>
    <r>
      <t>同意分配过程的描述</t>
    </r>
    <r>
      <rPr>
        <b/>
        <sz val="10"/>
        <color theme="1"/>
        <rFont val="微软雅黑"/>
        <family val="2"/>
        <charset val="134"/>
      </rPr>
      <t>包括时间表</t>
    </r>
    <r>
      <rPr>
        <sz val="10"/>
        <color theme="1"/>
        <rFont val="微软雅黑"/>
        <family val="2"/>
        <charset val="134"/>
      </rPr>
      <t>用于更改项目管理帐户的所有权。此描述必须包括更改帐户所有权的过程的描述来源一方的合作伙伴和另一方</t>
    </r>
    <r>
      <rPr>
        <b/>
        <sz val="10"/>
        <color theme="1"/>
        <rFont val="微软雅黑"/>
        <family val="2"/>
        <charset val="134"/>
      </rPr>
      <t>到达</t>
    </r>
    <r>
      <rPr>
        <sz val="10"/>
        <color theme="1"/>
        <rFont val="微软雅黑"/>
        <family val="2"/>
        <charset val="134"/>
      </rPr>
      <t>合作伙伴到和注册/注销流程，以及帐户的计费责任和 SPP 折扣资格的时间表。合作伙伴还必须提供 RACI 或同等文件，表明他们已记录流程中涉及的每一方的义务。合作伙伴还必须提供文件证明这是一个正式的业务流程</t>
    </r>
    <phoneticPr fontId="4" type="noConversion"/>
  </si>
  <si>
    <t>以编程方式管理关联帐户生命周期</t>
  </si>
  <si>
    <t>从项目管理帐户配置对关联帐户的基于角色的访问</t>
  </si>
  <si>
    <t>合作伙伴将实施的解决方案的描述或演示（例如，利用服务控制策略）以防止最终客户 IAM 用户（即非根用户）取消关联帐户与项目管理帐户的关联</t>
  </si>
  <si>
    <t>AWS 预设了成本可视化模版，您可以在以下关联参考：
https://d1s0yx3p3y3rah.cloudfront.net/anonymous-embed?dashboard=cid</t>
  </si>
  <si>
    <t>最终客户能够联系合作伙伴以获得关联账户到合作伙伴拥有的管理帐户的帐户相关的支持服务</t>
    <phoneticPr fontId="4" type="noConversion"/>
  </si>
  <si>
    <t>合作伙伴用于使最终客户能够联系他们以获得支持的可扩展机制的描述或演示。这可以通过主动监控的管理列表、账单系统、票务系统、CRM、ERP、工作流管理软件等来实现。</t>
    <phoneticPr fontId="4" type="noConversion"/>
  </si>
  <si>
    <t>为确保计划管理账户和最终客户工作负载的 AWS 账户的安全，解决方案提供商合作伙伴必须确保他们遵守解决方案提供商计划范围内所有 AWS 账户的 AWS CloudTrail 最佳实践</t>
    <phoneticPr fontId="4" type="noConversion"/>
  </si>
  <si>
    <t>检查反馈 注释/评论</t>
    <phoneticPr fontId="4" type="noConversion"/>
  </si>
  <si>
    <t>详细说明SPP如何服务 AWS 用户提出的相关技术问题、解决SPP相关问题以及SPP范围内服务账户关于 AWS 计费相关问题，SPP可以有应对技术和财务的不同支持渠道和处理流程。合作伙伴必须提供文件证明这些知识是集中存储的，任何公司内的运营相关员工都可以访问该知识库</t>
    <phoneticPr fontId="4" type="noConversion"/>
  </si>
  <si>
    <t>安全地存储密钥</t>
    <phoneticPr fontId="4" type="noConversion"/>
  </si>
  <si>
    <t>存储在知识库/文档中心中的文档反映了合作伙伴的密钥存储策略，以及合作伙伴如何存储密钥的演示或描述</t>
  </si>
  <si>
    <t>加密所有传输中和静态的密钥，定义仅允许访问特定身份的细粒度访问控制，并在审计日志中记录对秘密的访问。我们建议您使用专门构建的秘密管理服务，例如 AWS Secrets Manager、AWS Systems Manager Parameter Store 或 AWS 合作伙伴解决方案，满足密钥安全管理要求的内部自行开发的解决方案也是可以接受的。</t>
    <phoneticPr fontId="4" type="noConversion"/>
  </si>
  <si>
    <t>https://github.com/aws-samples/account-factory</t>
  </si>
  <si>
    <t>https://wellarchitectedlabs.com/cost/300_labs/300_optimization_data_collection/1_grant_permissions/</t>
    <phoneticPr fontId="4" type="noConversion"/>
  </si>
  <si>
    <t>https://wellarchitectedlabs.com/cost/100_labs/100_1_aws_account_setup/4_configure_sso/</t>
  </si>
  <si>
    <t>https://wellarchitectedlabs.com/cost/100_labs/100_1_aws_account_setup/2_account_structure/</t>
    <phoneticPr fontId="4" type="noConversion"/>
  </si>
  <si>
    <t>合作伙伴应答举证</t>
    <phoneticPr fontId="4" type="noConversion"/>
  </si>
  <si>
    <t>请伙伴在本列进行文字应答解释，如要求演示应答的则填写文字应答和对应截图</t>
    <phoneticPr fontId="4" type="noConversion"/>
  </si>
  <si>
    <t>演示并详细描述 如何执行客户重新计费，它应该是一个贯彻管理流程和设计规范账单管理系统 - 该系统必须能够为客户提供每种服务计费信息的最低使用类型。必须提供客户发票的模版/示例</t>
    <phoneticPr fontId="4" type="noConversion"/>
  </si>
  <si>
    <t>风险级别</t>
    <phoneticPr fontId="4" type="noConversion"/>
  </si>
  <si>
    <t>检查项技能指导资料</t>
    <phoneticPr fontId="4" type="noConversion"/>
  </si>
  <si>
    <t>在技术、计费或程序相关问题的情况下建设了适当的支持渠道及知识中心</t>
    <phoneticPr fontId="4" type="noConversion"/>
  </si>
  <si>
    <t>合作伙伴自查填写列</t>
    <phoneticPr fontId="4" type="noConversion"/>
  </si>
  <si>
    <t>中等风险</t>
    <phoneticPr fontId="4" type="noConversion"/>
  </si>
  <si>
    <t>Partner self-assessment</t>
    <phoneticPr fontId="20" type="noConversion"/>
  </si>
  <si>
    <t>PSA Technical verification</t>
    <phoneticPr fontId="20" type="noConversion"/>
  </si>
  <si>
    <t>count</t>
    <phoneticPr fontId="20" type="noConversion"/>
  </si>
  <si>
    <t>Pass</t>
  </si>
  <si>
    <t>Plan improvement</t>
    <phoneticPr fontId="20" type="noConversion"/>
  </si>
  <si>
    <t>Fail</t>
    <phoneticPr fontId="20" type="noConversion"/>
  </si>
  <si>
    <r>
      <t xml:space="preserve">AWS </t>
    </r>
    <r>
      <rPr>
        <b/>
        <sz val="10"/>
        <color theme="1"/>
        <rFont val="微软雅黑"/>
        <family val="2"/>
        <charset val="134"/>
      </rPr>
      <t>根用户管理</t>
    </r>
  </si>
  <si>
    <r>
      <t xml:space="preserve">AWS CloudTrail </t>
    </r>
    <r>
      <rPr>
        <b/>
        <sz val="10"/>
        <color theme="1"/>
        <rFont val="微软雅黑"/>
        <family val="2"/>
        <charset val="134"/>
      </rPr>
      <t>最佳实践</t>
    </r>
  </si>
  <si>
    <r>
      <t xml:space="preserve">AWS </t>
    </r>
    <r>
      <rPr>
        <b/>
        <sz val="10"/>
        <color theme="1"/>
        <rFont val="微软雅黑"/>
        <family val="2"/>
        <charset val="134"/>
      </rPr>
      <t>身份和访问管理最佳实践</t>
    </r>
  </si>
  <si>
    <t>总计</t>
    <phoneticPr fontId="20" type="noConversion"/>
  </si>
  <si>
    <t>AWS计费和成本管理</t>
    <phoneticPr fontId="4" type="noConversion"/>
  </si>
  <si>
    <t>SPP账户风险控制</t>
    <phoneticPr fontId="4" type="noConversion"/>
  </si>
  <si>
    <t>SPP账户管理</t>
    <phoneticPr fontId="4" type="noConversion"/>
  </si>
  <si>
    <t>SPP重新计费</t>
    <phoneticPr fontId="4" type="noConversion"/>
  </si>
  <si>
    <t>SPP账户所有权转让和分离最佳实践</t>
    <phoneticPr fontId="4" type="noConversion"/>
  </si>
  <si>
    <r>
      <t xml:space="preserve">AWS </t>
    </r>
    <r>
      <rPr>
        <b/>
        <sz val="10"/>
        <color theme="1"/>
        <rFont val="微软雅黑"/>
        <family val="2"/>
        <charset val="134"/>
      </rPr>
      <t>计费和成本管理</t>
    </r>
    <phoneticPr fontId="20" type="noConversion"/>
  </si>
  <si>
    <r>
      <t xml:space="preserve">SPP </t>
    </r>
    <r>
      <rPr>
        <b/>
        <sz val="10"/>
        <color theme="1"/>
        <rFont val="Microsoft YaHei"/>
        <family val="2"/>
        <charset val="134"/>
      </rPr>
      <t>重新计费</t>
    </r>
    <phoneticPr fontId="4" type="noConversion"/>
  </si>
  <si>
    <r>
      <t xml:space="preserve">AWS </t>
    </r>
    <r>
      <rPr>
        <b/>
        <sz val="10"/>
        <color theme="1"/>
        <rFont val="微软雅黑"/>
        <family val="2"/>
        <charset val="134"/>
      </rPr>
      <t>账户管理</t>
    </r>
    <phoneticPr fontId="4" type="noConversion"/>
  </si>
  <si>
    <r>
      <t xml:space="preserve">SPP </t>
    </r>
    <r>
      <rPr>
        <b/>
        <sz val="10"/>
        <color theme="1"/>
        <rFont val="Microsoft YaHei"/>
        <family val="2"/>
        <charset val="134"/>
      </rPr>
      <t>帐户所有权转让和分离最佳实践</t>
    </r>
    <phoneticPr fontId="4" type="noConversion"/>
  </si>
  <si>
    <t>BIL</t>
    <phoneticPr fontId="4" type="noConversion"/>
  </si>
  <si>
    <t>ACM</t>
    <phoneticPr fontId="4" type="noConversion"/>
  </si>
  <si>
    <t>ARC</t>
    <phoneticPr fontId="4" type="noConversion"/>
  </si>
  <si>
    <t>CTL</t>
    <phoneticPr fontId="4" type="noConversion"/>
  </si>
  <si>
    <t>Check item</t>
    <phoneticPr fontId="20" type="noConversion"/>
  </si>
  <si>
    <t>Check item number</t>
  </si>
  <si>
    <t>合作伙伴拥有监控所有受管理用户的AWS账号关联电子邮件地址的系统或记录管理机制，对此进行描述或演示，说明针对根用户（用于项目管理账户和SPAM模型 AWS Organizations 中的任何关联 AWS 账户的电子邮件地址）和有效触达的账户联系人，系统可以发送的通知，并为通知和沟通有分级处理定义，通过信息管理系统或机制表达合作伙伴拥有通知/沟通/传递有效最终联系人的管理动作，并说明演示如何推进这些管理动作同时能将其录入在记录系统中——例如，使用内部支持系统、ERP 或工作流管理软件</t>
    <phoneticPr fontId="4" type="noConversion"/>
  </si>
  <si>
    <r>
      <t xml:space="preserve">SPP  </t>
    </r>
    <r>
      <rPr>
        <b/>
        <sz val="10"/>
        <color theme="1"/>
        <rFont val="Microsoft YaHei"/>
        <family val="2"/>
        <charset val="134"/>
      </rPr>
      <t>账户管理</t>
    </r>
    <phoneticPr fontId="4" type="noConversion"/>
  </si>
  <si>
    <t>以编程方式接收、分类和操作AWS为最终用户发出的通知，将这些通知处理至 AWS 根用户、Payer账户、linked账户以及其他有效触达最终用户的账户</t>
    <phoneticPr fontId="4" type="noConversion"/>
  </si>
  <si>
    <t>高风险</t>
    <phoneticPr fontId="4" type="noConversion"/>
  </si>
  <si>
    <t>中风险</t>
    <phoneticPr fontId="4" type="noConversion"/>
  </si>
  <si>
    <t>低风险</t>
    <phoneticPr fontId="4" type="noConversion"/>
  </si>
  <si>
    <t>ACM-006</t>
    <phoneticPr fontId="4" type="noConversion"/>
  </si>
  <si>
    <t>描述 AWS Organizations 如何工作，以及 AWS Organizations 在“所有功能”与“整合账单”模式下的区别。合作伙伴还必须能够描述 AWS Organizations 的 AWS 最佳实践结构; 描述 使用AWS Organizations 登录到关联账号的过程</t>
    <phoneticPr fontId="4" type="noConversion"/>
  </si>
  <si>
    <t>ACM-010</t>
    <phoneticPr fontId="4" type="noConversion"/>
  </si>
  <si>
    <t>ACM-011</t>
    <phoneticPr fontId="4" type="noConversion"/>
  </si>
  <si>
    <t>防止最终客户 IAM 用户取消与项目管理帐户的关联</t>
    <phoneticPr fontId="4" type="noConversion"/>
  </si>
  <si>
    <t>ACM-014</t>
    <phoneticPr fontId="4" type="noConversion"/>
  </si>
  <si>
    <t>了解AWS Organizations 中的抵扣金(Credit)、预留实例和 Savings Plan 共享</t>
    <phoneticPr fontId="4" type="noConversion"/>
  </si>
  <si>
    <t>了解关闭 AWS 账户的过程</t>
    <phoneticPr fontId="4" type="noConversion"/>
  </si>
  <si>
    <t>ACM-005</t>
    <phoneticPr fontId="4" type="noConversion"/>
  </si>
  <si>
    <t xml:space="preserve">使用Organizations功能对关联账户进行 管理/控制/操作 </t>
    <phoneticPr fontId="4" type="noConversion"/>
  </si>
  <si>
    <t>合作伙伴将实施的解决方案的描述或演示，在需要的场景下去防止最终客户 IAM 用户（即非根用户）访问关联账户中的 Cost Explorer</t>
    <phoneticPr fontId="4" type="noConversion"/>
  </si>
  <si>
    <t>合作伙伴将实施的解决方案的描述或演示（例如，利用 IAM 权限边界和 IAM 策略）以防止有权访问 PMA 的最终客户创建和查看成本和使用报告（CUR）。最低要求：要实施的控制策略必须以代码段的形式描述以供验证
合作伙伴将实施的解决方案的描述或演示，在需要的场景下去防止最终客户 IAM 用户（即非根用户）访问关联账户中的 Cost Explorer</t>
    <phoneticPr fontId="4" type="noConversion"/>
  </si>
  <si>
    <r>
      <t xml:space="preserve">SPP  </t>
    </r>
    <r>
      <rPr>
        <b/>
        <sz val="10"/>
        <color theme="1"/>
        <rFont val="Microsoft YaHei"/>
        <family val="2"/>
        <charset val="134"/>
      </rPr>
      <t>账户风险控制</t>
    </r>
    <phoneticPr fontId="20" type="noConversion"/>
  </si>
  <si>
    <t>BIL-002</t>
    <phoneticPr fontId="23" type="noConversion"/>
  </si>
  <si>
    <t>创建、配置和管理由AWS提供付款账户成本使用报告</t>
    <phoneticPr fontId="23" type="noConversion"/>
  </si>
  <si>
    <t>演示为 Organizations启用成本和使用情况报告的过程，以及所选设置的理由（资源 ID 开/关；自动刷新开/关；格式；时间粒度）,说明作为付款账号使用成本报告的逻辑，处理周期，处理方式</t>
    <phoneticPr fontId="23" type="noConversion"/>
  </si>
  <si>
    <t>了解AWS提供的成本和使用情况报告细节</t>
    <phoneticPr fontId="4" type="noConversion"/>
  </si>
  <si>
    <t>ACM-002</t>
    <phoneticPr fontId="23" type="noConversion"/>
  </si>
  <si>
    <t>ACM-003</t>
    <phoneticPr fontId="23" type="noConversion"/>
  </si>
  <si>
    <t>ACM-004</t>
    <phoneticPr fontId="4" type="noConversion"/>
  </si>
  <si>
    <t>IAM-002</t>
    <phoneticPr fontId="4" type="noConversion"/>
  </si>
  <si>
    <t>BIL(001-003)</t>
    <phoneticPr fontId="20" type="noConversion"/>
  </si>
  <si>
    <t>ACM(001-004)</t>
    <phoneticPr fontId="20" type="noConversion"/>
  </si>
  <si>
    <t>ACM(005-009)</t>
    <phoneticPr fontId="20" type="noConversion"/>
  </si>
  <si>
    <t>ACM(010-013)</t>
    <phoneticPr fontId="20" type="noConversion"/>
  </si>
  <si>
    <t>IAM(001-002)</t>
    <phoneticPr fontId="20" type="noConversion"/>
  </si>
  <si>
    <t>ARC(001-002)</t>
    <phoneticPr fontId="20" type="noConversion"/>
  </si>
  <si>
    <t>CTL(001)</t>
    <phoneticPr fontId="20" type="noConversion"/>
  </si>
  <si>
    <t>SPP 合作伙伴必须精通使用 AWS 账单和成本管理服务来支付他们的 AWS 账单、监控使用情况和预算成本</t>
    <phoneticPr fontId="4" type="noConversion"/>
  </si>
  <si>
    <t>SPP 合作伙伴必须了解如何更新 AWS 账户设置，以有效管理项目管理账户 (PMA) 和/或关联到 PMA 的账户的更新操作、账户和安全联系信息。</t>
    <phoneticPr fontId="4" type="noConversion"/>
  </si>
  <si>
    <t>SPP 合作伙伴必须准备好大规模安全高效地管理 AWS 账户。系统、实践和程序的架构必须考虑到最终客户工作负载的可扩展性和安全性。</t>
    <phoneticPr fontId="4" type="noConversion"/>
  </si>
  <si>
    <t>SPP 合作伙伴必须利用本地 AWS 机制来确保客户无法查看与计划相关的信息（例如折扣）或更改 SPP 范围内 Organizations的账户结构，同时仍为客户提供足够的可见性以根据 Well-Architected 原则进行操作。</t>
    <phoneticPr fontId="4" type="noConversion"/>
  </si>
  <si>
    <t>解决方案提供商必须了解他们在正确转移帐户所有权方面的义务，以及他们使客户能够终止经销商关系的义务，以确保客户获得高质量的服务</t>
    <phoneticPr fontId="4" type="noConversion"/>
  </si>
  <si>
    <t>为确保包含最终客户工作负载的计划管理账户和 AWS 账户的安全，解决方案提供商合作伙伴必须确保他们遵守有关管理解决方案提供商计划范围内所有 AWS 账户的根用户的最佳实践</t>
    <phoneticPr fontId="4" type="noConversion"/>
  </si>
  <si>
    <t>为确保计划管理账户和包含最终客户工作负载的 AWS 账户的安全，解决方案提供商合作伙伴必须确保他们遵守解决方案提供商计划范围内所有 AWS 账户的 AWS Identity and Access Management 最佳实践</t>
    <phoneticPr fontId="4" type="noConversion"/>
  </si>
  <si>
    <t>检查项目的：为了提供高质量的服务，解决方案提供商必须了解与最终客户沟通的最佳实践，能从 AWS 接收账户通知，并将通知有效触达追踪客户，本项目将检查SPP与最终客户的沟通机制/工具，能否以正确的AWS 支持渠道确保快速解决任何问题</t>
    <phoneticPr fontId="4" type="noConversion"/>
  </si>
  <si>
    <t>满足</t>
  </si>
  <si>
    <t>ACM-018</t>
  </si>
  <si>
    <t>ACM-019</t>
  </si>
  <si>
    <t>ACM-020</t>
  </si>
  <si>
    <t>将联系信息（包括根用户电子邮件地址）设置为您公司拥有的电子邮件地址和电话号码。
使用公司拥有的电子邮件地址和电话号码作为联系信息，即使这些信息所属的个人不再在您的组织中，您也能够访问它们。</t>
  </si>
  <si>
    <t>https://repost.aws/knowledge-center/change-email-address</t>
  </si>
  <si>
    <t>合作伙伴用于为项目管理账户和关联的 AWS 账户配置 AWS 账户联系人的过程的描述或演示。</t>
  </si>
  <si>
    <t>查看有关更改与 AWS 账户关联的地址的文档：https://docs.aws.amazon.com/accounts/latest/reference/manage-acct-update-contact-alternate.htm
https://aws.amazon.com/en/premiumsupport/knowledge-center/update-aws-account-mailing-address/</t>
  </si>
  <si>
    <t>更新与 AWS 账户关联的联系人
将AWS帐户配置为指向有效的业务地址，并将备用联系人配置为指向一个组而不是个人。例如，为计费、运营和安全性创建单独的电子邮件分发列表，并在每个活动的AWS帐户中将其配置为计费、安全性和运营联系人。这样可以</t>
  </si>
  <si>
    <t>SPT</t>
  </si>
  <si>
    <t>SPP合作伙伴协助客户处理AWS账户的开通/注销请求，协助客户处理账单，并可以为其客户提供由合作伙伴提供的技术支持。这些控制措施有助于确保合作伙伴为其客户提供高质量的支持服务。</t>
  </si>
  <si>
    <t>SPT-001</t>
  </si>
  <si>
    <t>SPT-002</t>
  </si>
  <si>
    <t>SPT-003</t>
  </si>
  <si>
    <t>SPT-004</t>
  </si>
  <si>
    <t>SPT-005</t>
  </si>
  <si>
    <t>SPT-006</t>
  </si>
  <si>
    <t>客户服务可用性
客户如何联系您寻求 24x7 支持？ 您的运营团队如何配备全天候支持人员，以及相应流程？</t>
  </si>
  <si>
    <t>工单创建
客户如何在您的支持系统中创建活动/事件票证？</t>
  </si>
  <si>
    <t>服务台运营
客户可以在哪里找到您定义和记录的支持优先级和严重性级别？</t>
  </si>
  <si>
    <t>支持案例更新
请提供您的方法，以确保 AWS 合作伙伴运营人员不会错过 AWS 关于 AWS 支持案例的更新。 不需要将更新从合作伙伴的票证系统发送到 AWS 支持中心。 有效的集成方法包括将 AWS Support 电子邮件引入 AWS 合作伙伴的票务系统或直接与 AWS Support API 集成。</t>
  </si>
  <si>
    <t>事件管理
描述监控 AWS 服务运行状况仪表板并向支持团队发出这些事件警报的流程。</t>
  </si>
  <si>
    <t>https://aws.amazon.com/blogs/business-intelligence/build-an-analytics-pipeline-for-a-multi-account-support-case-dashboard/</t>
  </si>
  <si>
    <t>https://aws.amazon.com/cn/premiumsupport/technology/aws-health-dashboard/</t>
  </si>
  <si>
    <t>存储在文档中心中的文档/客户服务合同中包括计费支持的服务级别协议（SLA）方面的政策的演示或描述。</t>
  </si>
  <si>
    <t>存储在文档中心中的文档/客户服务合同中反映伙伴支持流程和服务等级政策的演示或描述。</t>
  </si>
  <si>
    <t>演示或描述伙伴工单系统痛的工单创建和流转过程。</t>
  </si>
  <si>
    <t>演示或描述伙伴运营部门对故障优先级的定义、严重性级别的定义文档或政策。</t>
  </si>
  <si>
    <t>演示或描述伙伴运营部门如何对客户AWS support case状态做全流程监控，以及状态更新后如何通知到客户。</t>
  </si>
  <si>
    <t>演示或描述：
1. 如何开启组织级别 health dashboard。
2. 当监测到有健康事件发生时，运营团队后续流程。</t>
  </si>
  <si>
    <t>RBL</t>
  </si>
  <si>
    <t>RBL-004</t>
  </si>
  <si>
    <t>RBL-001</t>
  </si>
  <si>
    <t>RBL-002</t>
  </si>
  <si>
    <t>RBL-003</t>
  </si>
  <si>
    <t>RBL(001-004)</t>
  </si>
  <si>
    <t>SPP客户沟通最佳实践</t>
  </si>
  <si>
    <t>SPT(001-006)</t>
  </si>
  <si>
    <t>SPT 运营支持</t>
  </si>
  <si>
    <t>ARC-002</t>
  </si>
  <si>
    <t>合作伙伴选择的组织管理解决方案为管理关联账户的生命周期而实施的自动化解决方案的描述或演示
注意：如果合作伙伴将使用 AWS Control Tower 来满足 ACM-006，则合作伙伴可使用 AWS Control Tower 的账户工厂(Account Factory)来管理关联账户的创建和生命周期，若不是需提供更多详细信息(例如调用OrganizationsAPI自定义开发的账号功能)</t>
  </si>
  <si>
    <t>查看有关为 AWS 账户添加MFA：https://docs.aws.amazon.com/zh_cn/IAM/latest/UserGuide/id_credentials_mfa.html</t>
  </si>
  <si>
    <t>演示或描述在 AWS 账户上设置MFA的过程</t>
  </si>
  <si>
    <t>为 AWS 账户内的高权限用户（admin用户）设置MFA</t>
  </si>
  <si>
    <t>解决方案提供商账户模型 (SPAM) 和最终客户账户模型 (ECAM) 的描述，何时应使用每个模型，每个模型中 AWS 账户的所有权，每个模型中根用户和关联电子邮件域的所有权，以及必须在每个模型中配置的计费和税收设置。
参看：https://aws.amazon.com/cn/blogs/mt/aws-partners-determine-aws-support-plans-in-organization/</t>
  </si>
  <si>
    <t>了解解决方案提提供商账户模型 (SPAM) 和最终客户账户模型 (ECAM)</t>
  </si>
  <si>
    <t>ACM-015</t>
  </si>
  <si>
    <t>ACM-017</t>
  </si>
  <si>
    <t>ACM(014-016)</t>
  </si>
  <si>
    <t>ACM(017-020)</t>
  </si>
  <si>
    <t>基础 SLA
描述您的基本 SLA。 基础 SLA 是与 AWS 合作伙伴向其客户的响应时间、操作和通知相关的 SLA。 SLA 可能包括客户打开票证/发起请求时的响应时间、从事件或事件触发到补救的时间以及客户发起的更改/请求的周转时间。</t>
    <phoneticPr fontId="4" type="noConversion"/>
  </si>
  <si>
    <t>运营支持</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</si>
</sst>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等线"/>
      <family val="2"/>
      <scheme val="minor"/>
    </font>
    <font>
      <sz val="11"/>
      <color rgb="FF3F3F76"/>
      <name val="等线"/>
      <family val="2"/>
      <scheme val="minor"/>
    </font>
    <font>
      <sz val="11"/>
      <color theme="0"/>
      <name val="等线"/>
      <family val="2"/>
      <scheme val="minor"/>
    </font>
    <font>
      <u/>
      <sz val="11"/>
      <color theme="10"/>
      <name val="等线"/>
      <family val="2"/>
      <scheme val="minor"/>
    </font>
    <font>
      <sz val="9"/>
      <name val="等线"/>
      <family val="3"/>
      <charset val="134"/>
      <scheme val="minor"/>
    </font>
    <font>
      <b/>
      <sz val="10"/>
      <color theme="1"/>
      <name val="微软雅黑"/>
      <family val="2"/>
      <charset val="134"/>
    </font>
    <font>
      <sz val="10"/>
      <color theme="1"/>
      <name val="微软雅黑"/>
      <family val="2"/>
      <charset val="134"/>
    </font>
    <font>
      <u/>
      <sz val="10"/>
      <color theme="10"/>
      <name val="微软雅黑"/>
      <family val="2"/>
      <charset val="134"/>
    </font>
    <font>
      <sz val="10"/>
      <color rgb="FF000000"/>
      <name val="微软雅黑"/>
      <family val="2"/>
      <charset val="134"/>
    </font>
    <font>
      <i/>
      <sz val="11"/>
      <color theme="0"/>
      <name val="微软雅黑"/>
      <family val="2"/>
      <charset val="134"/>
    </font>
    <font>
      <i/>
      <sz val="11"/>
      <color rgb="FF3F3F76"/>
      <name val="微软雅黑"/>
      <family val="2"/>
      <charset val="134"/>
    </font>
    <font>
      <i/>
      <sz val="11"/>
      <color theme="1"/>
      <name val="微软雅黑"/>
      <family val="2"/>
      <charset val="134"/>
    </font>
    <font>
      <b/>
      <i/>
      <u/>
      <sz val="12"/>
      <color rgb="FFC00000"/>
      <name val="微软雅黑"/>
      <family val="2"/>
      <charset val="134"/>
    </font>
    <font>
      <sz val="8"/>
      <color theme="2" tint="-0.249977111117893"/>
      <name val="等线"/>
      <family val="2"/>
      <scheme val="minor"/>
    </font>
    <font>
      <sz val="8"/>
      <color theme="2" tint="-0.249977111117893"/>
      <name val="微软雅黑"/>
      <family val="2"/>
      <charset val="134"/>
    </font>
    <font>
      <i/>
      <u/>
      <sz val="10"/>
      <color theme="2" tint="-0.499984740745262"/>
      <name val="微软雅黑"/>
      <family val="2"/>
      <charset val="134"/>
    </font>
    <font>
      <i/>
      <sz val="10"/>
      <color theme="2" tint="-0.499984740745262"/>
      <name val="微软雅黑"/>
      <family val="2"/>
      <charset val="134"/>
    </font>
    <font>
      <sz val="14"/>
      <color theme="1"/>
      <name val="Amazon Ember Heavy"/>
      <family val="2"/>
    </font>
    <font>
      <sz val="11"/>
      <color theme="1"/>
      <name val="Amazon Ember Heavy"/>
      <family val="2"/>
    </font>
    <font>
      <i/>
      <sz val="12"/>
      <color theme="1"/>
      <name val="Amazon Ember Heavy"/>
      <family val="2"/>
    </font>
    <font>
      <sz val="9"/>
      <name val="等线"/>
      <family val="4"/>
      <charset val="134"/>
      <scheme val="minor"/>
    </font>
    <font>
      <b/>
      <sz val="10"/>
      <color theme="1"/>
      <name val="Amazon Ember Heavy"/>
      <family val="2"/>
    </font>
    <font>
      <b/>
      <sz val="10"/>
      <color theme="1"/>
      <name val="Microsoft YaHei"/>
      <family val="2"/>
      <charset val="134"/>
    </font>
    <font>
      <sz val="9"/>
      <name val="等线"/>
      <family val="2"/>
      <charset val="134"/>
      <scheme val="minor"/>
    </font>
  </fonts>
  <fills count="15">
    <fill>
      <patternFill patternType="none"/>
    </fill>
    <fill>
      <patternFill patternType="gray125"/>
    </fill>
    <fill>
      <patternFill patternType="solid">
        <fgColor rgb="FFFFCC99"/>
      </patternFill>
    </fill>
    <fill>
      <patternFill patternType="solid">
        <fgColor theme="4"/>
      </patternFill>
    </fill>
    <fill>
      <patternFill patternType="solid">
        <fgColor rgb="FFFFDF99"/>
        <bgColor indexed="64"/>
      </patternFill>
    </fill>
    <fill>
      <patternFill patternType="solid">
        <fgColor rgb="FFF89EFA"/>
        <bgColor indexed="64"/>
      </patternFill>
    </fill>
    <fill>
      <patternFill patternType="solid">
        <fgColor rgb="FF9EE9FA"/>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0" tint="-0.14999847407452621"/>
        <bgColor indexed="64"/>
      </patternFill>
    </fill>
    <fill>
      <patternFill patternType="solid">
        <fgColor theme="0"/>
        <bgColor indexed="64"/>
      </patternFill>
    </fill>
    <fill>
      <patternFill patternType="solid">
        <fgColor rgb="FF9EEAFA"/>
        <bgColor indexed="64"/>
      </patternFill>
    </fill>
  </fills>
  <borders count="19">
    <border>
      <left/>
      <right/>
      <top/>
      <bottom/>
      <diagonal/>
    </border>
    <border>
      <left style="thin">
        <color rgb="FF7F7F7F"/>
      </left>
      <right style="thin">
        <color rgb="FF7F7F7F"/>
      </right>
      <top style="thin">
        <color rgb="FF7F7F7F"/>
      </top>
      <bottom style="thin">
        <color rgb="FF7F7F7F"/>
      </bottom>
      <diagonal/>
    </border>
    <border>
      <left style="thin">
        <color indexed="64"/>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rgb="FFE6E6E6"/>
      </left>
      <right/>
      <top style="medium">
        <color rgb="FFE6E6E6"/>
      </top>
      <bottom/>
      <diagonal/>
    </border>
    <border>
      <left/>
      <right style="medium">
        <color rgb="FFE6E6E6"/>
      </right>
      <top style="medium">
        <color rgb="FFE6E6E6"/>
      </top>
      <bottom/>
      <diagonal/>
    </border>
    <border>
      <left style="medium">
        <color rgb="FFE6E6E6"/>
      </left>
      <right style="medium">
        <color rgb="FFE6E6E6"/>
      </right>
      <top style="medium">
        <color rgb="FFE6E6E6"/>
      </top>
      <bottom style="medium">
        <color rgb="FFE6E6E6"/>
      </bottom>
      <diagonal/>
    </border>
    <border>
      <left/>
      <right style="thin">
        <color indexed="64"/>
      </right>
      <top style="thin">
        <color indexed="64"/>
      </top>
      <bottom style="thin">
        <color indexed="64"/>
      </bottom>
      <diagonal/>
    </border>
  </borders>
  <cellStyleXfs count="4">
    <xf numFmtId="0" fontId="0" fillId="0" borderId="0"/>
    <xf numFmtId="0" fontId="1" fillId="2" borderId="1" applyNumberFormat="0" applyAlignment="0" applyProtection="0"/>
    <xf numFmtId="0" fontId="2" fillId="3" borderId="0" applyNumberFormat="0" applyBorder="0" applyAlignment="0" applyProtection="0"/>
    <xf numFmtId="0" fontId="3" fillId="0" borderId="0" applyNumberFormat="0" applyFill="0" applyBorder="0" applyAlignment="0" applyProtection="0"/>
  </cellStyleXfs>
  <cellXfs count="72">
    <xf numFmtId="0" fontId="0" fillId="0" borderId="0" xfId="0"/>
    <xf numFmtId="0" fontId="0" fillId="0" borderId="0" xfId="0" applyAlignment="1">
      <alignment horizontal="left"/>
    </xf>
    <xf numFmtId="0" fontId="9" fillId="3" borderId="1" xfId="2" applyFont="1" applyBorder="1" applyAlignment="1">
      <alignment horizontal="left"/>
    </xf>
    <xf numFmtId="0" fontId="10" fillId="2" borderId="1" xfId="1" applyFont="1" applyAlignment="1">
      <alignment horizontal="left"/>
    </xf>
    <xf numFmtId="0" fontId="13" fillId="0" borderId="0" xfId="0" applyFont="1" applyAlignment="1">
      <alignment horizontal="left"/>
    </xf>
    <xf numFmtId="0" fontId="19" fillId="8" borderId="7" xfId="0" applyFont="1" applyFill="1" applyBorder="1" applyAlignment="1">
      <alignment horizontal="left"/>
    </xf>
    <xf numFmtId="0" fontId="18" fillId="0" borderId="8" xfId="0" applyFont="1" applyBorder="1" applyAlignment="1">
      <alignment horizontal="left"/>
    </xf>
    <xf numFmtId="0" fontId="18" fillId="0" borderId="9" xfId="0" applyFont="1" applyBorder="1" applyAlignment="1">
      <alignment horizontal="left"/>
    </xf>
    <xf numFmtId="0" fontId="18" fillId="0" borderId="12" xfId="0" applyFont="1" applyBorder="1" applyAlignment="1">
      <alignment horizontal="left"/>
    </xf>
    <xf numFmtId="0" fontId="18" fillId="0" borderId="10" xfId="0" applyFont="1" applyBorder="1" applyAlignment="1">
      <alignment horizontal="left"/>
    </xf>
    <xf numFmtId="0" fontId="18" fillId="0" borderId="13" xfId="0" applyFont="1" applyBorder="1" applyAlignment="1">
      <alignment horizontal="left"/>
    </xf>
    <xf numFmtId="0" fontId="18" fillId="0" borderId="11" xfId="0" applyFont="1" applyBorder="1" applyAlignment="1">
      <alignment horizontal="left"/>
    </xf>
    <xf numFmtId="0" fontId="18" fillId="0" borderId="2" xfId="0" applyFont="1" applyBorder="1" applyAlignment="1">
      <alignment horizontal="left"/>
    </xf>
    <xf numFmtId="0" fontId="18" fillId="10" borderId="2" xfId="0" applyFont="1" applyFill="1" applyBorder="1" applyAlignment="1">
      <alignment horizontal="left"/>
    </xf>
    <xf numFmtId="0" fontId="18" fillId="11" borderId="14" xfId="0" applyFont="1" applyFill="1" applyBorder="1" applyAlignment="1">
      <alignment horizontal="left"/>
    </xf>
    <xf numFmtId="0" fontId="19" fillId="8" borderId="5" xfId="0" applyFont="1" applyFill="1" applyBorder="1" applyAlignment="1">
      <alignment horizontal="left"/>
    </xf>
    <xf numFmtId="0" fontId="19" fillId="9" borderId="8" xfId="0" applyFont="1" applyFill="1" applyBorder="1" applyAlignment="1">
      <alignment horizontal="left"/>
    </xf>
    <xf numFmtId="0" fontId="19" fillId="9" borderId="9" xfId="0" applyFont="1" applyFill="1" applyBorder="1" applyAlignment="1">
      <alignment horizontal="left"/>
    </xf>
    <xf numFmtId="0" fontId="19" fillId="8" borderId="0" xfId="0" applyFont="1" applyFill="1" applyAlignment="1">
      <alignment horizontal="left"/>
    </xf>
    <xf numFmtId="0" fontId="19" fillId="9" borderId="0" xfId="0" applyFont="1" applyFill="1" applyAlignment="1">
      <alignment horizontal="left"/>
    </xf>
    <xf numFmtId="0" fontId="21" fillId="12" borderId="8" xfId="0" applyFont="1" applyFill="1" applyBorder="1" applyAlignment="1">
      <alignment horizontal="left" vertical="top" wrapText="1"/>
    </xf>
    <xf numFmtId="0" fontId="18" fillId="0" borderId="0" xfId="0" applyFont="1" applyAlignment="1">
      <alignment horizontal="left"/>
    </xf>
    <xf numFmtId="0" fontId="0" fillId="0" borderId="12" xfId="0" applyBorder="1" applyAlignment="1">
      <alignment horizontal="left"/>
    </xf>
    <xf numFmtId="0" fontId="0" fillId="13" borderId="0" xfId="0" applyFill="1" applyAlignment="1">
      <alignment horizontal="left"/>
    </xf>
    <xf numFmtId="0" fontId="13" fillId="13" borderId="0" xfId="0" applyFont="1" applyFill="1" applyAlignment="1">
      <alignment horizontal="left"/>
    </xf>
    <xf numFmtId="0" fontId="0" fillId="13" borderId="0" xfId="0" applyFill="1"/>
    <xf numFmtId="0" fontId="11" fillId="13" borderId="0" xfId="0" applyFont="1" applyFill="1"/>
    <xf numFmtId="0" fontId="5" fillId="4" borderId="14" xfId="0" applyFont="1" applyFill="1" applyBorder="1" applyAlignment="1">
      <alignment horizontal="left" vertical="top" wrapText="1"/>
    </xf>
    <xf numFmtId="0" fontId="12" fillId="4" borderId="14" xfId="0" applyFont="1" applyFill="1" applyBorder="1" applyAlignment="1">
      <alignment vertical="top" wrapText="1"/>
    </xf>
    <xf numFmtId="0" fontId="14" fillId="4" borderId="14" xfId="0" applyFont="1" applyFill="1" applyBorder="1" applyAlignment="1">
      <alignment horizontal="left" vertical="top" wrapText="1"/>
    </xf>
    <xf numFmtId="0" fontId="15" fillId="4" borderId="14" xfId="0" applyFont="1" applyFill="1" applyBorder="1" applyAlignment="1">
      <alignment vertical="top" wrapText="1"/>
    </xf>
    <xf numFmtId="0" fontId="6" fillId="0" borderId="14" xfId="0" applyFont="1" applyBorder="1" applyAlignment="1">
      <alignment horizontal="left" vertical="top" wrapText="1"/>
    </xf>
    <xf numFmtId="0" fontId="6" fillId="0" borderId="14" xfId="0" applyFont="1" applyBorder="1" applyAlignment="1">
      <alignment vertical="top" wrapText="1"/>
    </xf>
    <xf numFmtId="0" fontId="16" fillId="0" borderId="14" xfId="0" applyFont="1" applyBorder="1" applyAlignment="1">
      <alignment vertical="top" wrapText="1"/>
    </xf>
    <xf numFmtId="0" fontId="6" fillId="0" borderId="14" xfId="0" applyFont="1" applyBorder="1" applyAlignment="1">
      <alignment horizontal="left" vertical="top"/>
    </xf>
    <xf numFmtId="0" fontId="5" fillId="5" borderId="14" xfId="0" applyFont="1" applyFill="1" applyBorder="1" applyAlignment="1">
      <alignment horizontal="left" vertical="top" wrapText="1"/>
    </xf>
    <xf numFmtId="0" fontId="6" fillId="5" borderId="14" xfId="0" applyFont="1" applyFill="1" applyBorder="1" applyAlignment="1">
      <alignment horizontal="left" vertical="top" wrapText="1"/>
    </xf>
    <xf numFmtId="0" fontId="7" fillId="0" borderId="14" xfId="3" applyFont="1" applyBorder="1" applyAlignment="1">
      <alignment horizontal="left" vertical="top" wrapText="1"/>
    </xf>
    <xf numFmtId="0" fontId="5" fillId="6" borderId="14" xfId="0" applyFont="1" applyFill="1" applyBorder="1" applyAlignment="1">
      <alignment horizontal="left" vertical="top" wrapText="1"/>
    </xf>
    <xf numFmtId="0" fontId="6" fillId="6" borderId="14" xfId="0" applyFont="1" applyFill="1" applyBorder="1" applyAlignment="1">
      <alignment horizontal="left" vertical="top" wrapText="1"/>
    </xf>
    <xf numFmtId="0" fontId="8" fillId="0" borderId="17" xfId="0" applyFont="1" applyBorder="1" applyAlignment="1">
      <alignment horizontal="left" vertical="center" wrapText="1"/>
    </xf>
    <xf numFmtId="0" fontId="5" fillId="14" borderId="14" xfId="0" applyFont="1" applyFill="1" applyBorder="1" applyAlignment="1">
      <alignment horizontal="left" vertical="top" wrapText="1"/>
    </xf>
    <xf numFmtId="0" fontId="6" fillId="14" borderId="14" xfId="0" applyFont="1" applyFill="1" applyBorder="1" applyAlignment="1">
      <alignment horizontal="left" vertical="top" wrapText="1"/>
    </xf>
    <xf numFmtId="0" fontId="6" fillId="0" borderId="2" xfId="0" applyFont="1" applyBorder="1" applyAlignment="1">
      <alignment vertical="top" wrapText="1"/>
    </xf>
    <xf numFmtId="0" fontId="6" fillId="0" borderId="18" xfId="0" applyFont="1" applyBorder="1" applyAlignment="1">
      <alignment horizontal="left" vertical="top" wrapText="1"/>
    </xf>
    <xf numFmtId="0" fontId="8" fillId="0" borderId="14" xfId="0" applyFont="1" applyBorder="1" applyAlignment="1">
      <alignment horizontal="left" vertical="center" wrapText="1"/>
    </xf>
    <xf numFmtId="0" fontId="3" fillId="0" borderId="14" xfId="3" applyBorder="1" applyAlignment="1">
      <alignment horizontal="left" vertical="top" wrapText="1"/>
    </xf>
    <xf numFmtId="0" fontId="18" fillId="0" borderId="6" xfId="0" applyFont="1" applyBorder="1" applyAlignment="1">
      <alignment horizontal="left"/>
    </xf>
    <xf numFmtId="0" fontId="18" fillId="0" borderId="3" xfId="0" applyFont="1" applyBorder="1" applyAlignment="1">
      <alignment horizontal="left"/>
    </xf>
    <xf numFmtId="0" fontId="18" fillId="0" borderId="4" xfId="0" applyFont="1" applyBorder="1" applyAlignment="1">
      <alignment horizontal="left"/>
    </xf>
    <xf numFmtId="0" fontId="21" fillId="7" borderId="8" xfId="0" applyFont="1" applyFill="1" applyBorder="1" applyAlignment="1">
      <alignment horizontal="left" vertical="top" wrapText="1"/>
    </xf>
    <xf numFmtId="0" fontId="19" fillId="7" borderId="5" xfId="0" applyFont="1" applyFill="1" applyBorder="1" applyAlignment="1">
      <alignment horizontal="left" vertical="center"/>
    </xf>
    <xf numFmtId="0" fontId="19" fillId="7" borderId="11" xfId="0" applyFont="1" applyFill="1" applyBorder="1" applyAlignment="1">
      <alignment horizontal="left" vertical="center"/>
    </xf>
    <xf numFmtId="0" fontId="19" fillId="8" borderId="3" xfId="0" applyFont="1" applyFill="1" applyBorder="1" applyAlignment="1">
      <alignment horizontal="left"/>
    </xf>
    <xf numFmtId="0" fontId="19" fillId="9" borderId="6" xfId="0" applyFont="1" applyFill="1" applyBorder="1" applyAlignment="1">
      <alignment horizontal="left"/>
    </xf>
    <xf numFmtId="0" fontId="19" fillId="9" borderId="3" xfId="0" applyFont="1" applyFill="1" applyBorder="1" applyAlignment="1">
      <alignment horizontal="left"/>
    </xf>
    <xf numFmtId="0" fontId="19" fillId="9" borderId="4" xfId="0" applyFont="1" applyFill="1" applyBorder="1" applyAlignment="1">
      <alignment horizontal="left"/>
    </xf>
    <xf numFmtId="0" fontId="19" fillId="12" borderId="6" xfId="0" applyFont="1" applyFill="1" applyBorder="1" applyAlignment="1">
      <alignment horizontal="left" vertical="center"/>
    </xf>
    <xf numFmtId="0" fontId="19" fillId="12" borderId="12" xfId="0" applyFont="1" applyFill="1" applyBorder="1" applyAlignment="1">
      <alignment horizontal="left" vertical="center"/>
    </xf>
    <xf numFmtId="0" fontId="17" fillId="0" borderId="6"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0" fillId="0" borderId="0" xfId="0" applyAlignment="1">
      <alignment horizontal="center"/>
    </xf>
    <xf numFmtId="0" fontId="15" fillId="4" borderId="15" xfId="0" applyFont="1" applyFill="1" applyBorder="1" applyAlignment="1">
      <alignment vertical="top" wrapText="1"/>
    </xf>
    <xf numFmtId="0" fontId="15" fillId="4" borderId="16" xfId="0" applyFont="1" applyFill="1" applyBorder="1" applyAlignment="1">
      <alignment vertical="top" wrapText="1"/>
    </xf>
    <xf numFmtId="0" fontId="6" fillId="0" borderId="14" xfId="0" applyFont="1" applyBorder="1" applyAlignment="1">
      <alignment horizontal="left" vertical="top" wrapText="1"/>
    </xf>
    <xf numFmtId="0" fontId="6" fillId="0" borderId="14" xfId="0" applyFont="1" applyBorder="1" applyAlignment="1">
      <alignment vertical="top" wrapText="1"/>
    </xf>
    <xf numFmtId="0" fontId="5" fillId="5" borderId="14" xfId="0" applyFont="1" applyFill="1" applyBorder="1" applyAlignment="1">
      <alignment vertical="top" wrapText="1"/>
    </xf>
    <xf numFmtId="0" fontId="6" fillId="0" borderId="5" xfId="0" applyFont="1" applyBorder="1" applyAlignment="1">
      <alignment vertical="top" wrapText="1"/>
    </xf>
    <xf numFmtId="0" fontId="5" fillId="6" borderId="14" xfId="0" applyFont="1" applyFill="1" applyBorder="1" applyAlignment="1">
      <alignment vertical="top" wrapText="1"/>
    </xf>
    <xf numFmtId="0" fontId="5" fillId="6" borderId="11" xfId="0" applyFont="1" applyFill="1" applyBorder="1" applyAlignment="1">
      <alignment vertical="top" wrapText="1"/>
    </xf>
    <xf numFmtId="0" fontId="5" fillId="14" borderId="14" xfId="0" applyFont="1" applyFill="1" applyBorder="1" applyAlignment="1">
      <alignment vertical="top" wrapText="1"/>
    </xf>
  </cellXfs>
  <cellStyles count="4">
    <cellStyle name="常规" xfId="0" builtinId="0"/>
    <cellStyle name="超链接" xfId="3" builtinId="8"/>
    <cellStyle name="输入" xfId="1" builtinId="20"/>
    <cellStyle name="着色 1" xfId="2" builtinId="29"/>
  </cellStyles>
  <dxfs count="0"/>
  <tableStyles count="0" defaultTableStyle="TableStyleMedium2" defaultPivotStyle="PivotStyleLight16"/>
  <colors>
    <mruColors>
      <color rgb="FF9EEA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88900</xdr:colOff>
      <xdr:row>0</xdr:row>
      <xdr:rowOff>88900</xdr:rowOff>
    </xdr:from>
    <xdr:to>
      <xdr:col>1</xdr:col>
      <xdr:colOff>254000</xdr:colOff>
      <xdr:row>1</xdr:row>
      <xdr:rowOff>152400</xdr:rowOff>
    </xdr:to>
    <xdr:pic>
      <xdr:nvPicPr>
        <xdr:cNvPr id="2" name="Picture 1">
          <a:extLst>
            <a:ext uri="{FF2B5EF4-FFF2-40B4-BE49-F238E27FC236}">
              <a16:creationId xmlns:a16="http://schemas.microsoft.com/office/drawing/2014/main" id="{E1EBC637-B661-DF41-8D60-3FA258CFA0F1}"/>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900" y="88900"/>
          <a:ext cx="1333500" cy="2540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aws.amazon.com/blogs/business-intelligence/build-an-analytics-pipeline-for-a-multi-account-support-case-dashboard/" TargetMode="External"/><Relationship Id="rId1" Type="http://schemas.openxmlformats.org/officeDocument/2006/relationships/hyperlink" Target="https://docs.aws.amazon.com/IAM/latest/UserGuide/id_credentials_access-key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87D40C-BA50-9A4B-ACCF-0336F00034B7}">
  <dimension ref="B2:V44"/>
  <sheetViews>
    <sheetView zoomScale="125" workbookViewId="0">
      <selection activeCell="C28" sqref="C28"/>
    </sheetView>
  </sheetViews>
  <sheetFormatPr defaultColWidth="10.796875" defaultRowHeight="13.9"/>
  <cols>
    <col min="1" max="1" width="3.46484375" style="1" customWidth="1"/>
    <col min="2" max="2" width="14.33203125" style="1" customWidth="1"/>
    <col min="3" max="3" width="46.46484375" style="1" customWidth="1"/>
    <col min="4" max="4" width="18.46484375" style="1" customWidth="1"/>
    <col min="5" max="5" width="21" style="1" customWidth="1"/>
    <col min="6" max="6" width="17.46484375" style="1" customWidth="1"/>
    <col min="7" max="7" width="10.46484375" style="1" customWidth="1"/>
    <col min="8" max="8" width="10.796875" style="1"/>
    <col min="9" max="9" width="22.1328125" style="1" customWidth="1"/>
    <col min="10" max="18" width="10.796875" style="1"/>
    <col min="19" max="19" width="47.796875" style="1" customWidth="1"/>
    <col min="20" max="16384" width="10.796875" style="1"/>
  </cols>
  <sheetData>
    <row r="2" spans="2:10" ht="17.25">
      <c r="B2" s="59" t="s">
        <v>60</v>
      </c>
      <c r="C2" s="60"/>
      <c r="D2" s="60"/>
      <c r="E2" s="60"/>
      <c r="F2" s="60"/>
      <c r="G2" s="60"/>
      <c r="H2" s="60"/>
      <c r="I2" s="60"/>
      <c r="J2" s="61"/>
    </row>
    <row r="3" spans="2:10" ht="15.4">
      <c r="B3" s="57" t="s">
        <v>139</v>
      </c>
      <c r="C3" s="51" t="s">
        <v>59</v>
      </c>
      <c r="D3" s="53" t="s">
        <v>116</v>
      </c>
      <c r="E3" s="53"/>
      <c r="F3" s="53"/>
      <c r="G3" s="15"/>
      <c r="H3" s="54" t="s">
        <v>117</v>
      </c>
      <c r="I3" s="55"/>
      <c r="J3" s="56"/>
    </row>
    <row r="4" spans="2:10" ht="15.4">
      <c r="B4" s="58" t="s">
        <v>140</v>
      </c>
      <c r="C4" s="52"/>
      <c r="D4" s="18" t="s">
        <v>144</v>
      </c>
      <c r="E4" s="18" t="s">
        <v>145</v>
      </c>
      <c r="F4" s="18" t="s">
        <v>146</v>
      </c>
      <c r="G4" s="5" t="s">
        <v>118</v>
      </c>
      <c r="H4" s="16" t="s">
        <v>119</v>
      </c>
      <c r="I4" s="19" t="s">
        <v>120</v>
      </c>
      <c r="J4" s="17" t="s">
        <v>121</v>
      </c>
    </row>
    <row r="5" spans="2:10" ht="14.65">
      <c r="B5" s="20" t="s">
        <v>168</v>
      </c>
      <c r="C5" s="50" t="s">
        <v>131</v>
      </c>
      <c r="D5" s="47"/>
      <c r="E5" s="48">
        <v>2</v>
      </c>
      <c r="F5" s="49">
        <v>1</v>
      </c>
      <c r="G5" s="7">
        <f>SUM(D5:F5)</f>
        <v>3</v>
      </c>
      <c r="H5" s="6"/>
      <c r="I5" s="21"/>
      <c r="J5" s="7"/>
    </row>
    <row r="6" spans="2:10" ht="14.65">
      <c r="B6" s="20" t="s">
        <v>218</v>
      </c>
      <c r="C6" s="50" t="s">
        <v>132</v>
      </c>
      <c r="D6" s="6">
        <v>2</v>
      </c>
      <c r="E6" s="21">
        <v>2</v>
      </c>
      <c r="F6" s="7"/>
      <c r="G6" s="7">
        <f t="shared" ref="G6:G15" si="0">SUM(D6:F6)</f>
        <v>4</v>
      </c>
      <c r="H6" s="6"/>
      <c r="I6" s="21"/>
      <c r="J6" s="7"/>
    </row>
    <row r="7" spans="2:10" ht="14.65">
      <c r="B7" s="20" t="s">
        <v>169</v>
      </c>
      <c r="C7" s="50" t="s">
        <v>133</v>
      </c>
      <c r="D7" s="6"/>
      <c r="E7" s="21">
        <v>2</v>
      </c>
      <c r="F7" s="7">
        <v>2</v>
      </c>
      <c r="G7" s="7">
        <f t="shared" si="0"/>
        <v>4</v>
      </c>
      <c r="H7" s="6"/>
      <c r="I7" s="21"/>
      <c r="J7" s="7"/>
    </row>
    <row r="8" spans="2:10" ht="14.65">
      <c r="B8" s="20" t="s">
        <v>170</v>
      </c>
      <c r="C8" s="50" t="s">
        <v>142</v>
      </c>
      <c r="D8" s="6"/>
      <c r="E8" s="21">
        <v>2</v>
      </c>
      <c r="F8" s="7">
        <v>3</v>
      </c>
      <c r="G8" s="7">
        <f t="shared" si="0"/>
        <v>5</v>
      </c>
      <c r="H8" s="6"/>
      <c r="I8" s="21"/>
      <c r="J8" s="7"/>
    </row>
    <row r="9" spans="2:10" ht="14.65">
      <c r="B9" s="20" t="s">
        <v>171</v>
      </c>
      <c r="C9" s="50" t="s">
        <v>159</v>
      </c>
      <c r="D9" s="6">
        <v>3</v>
      </c>
      <c r="E9" s="21">
        <v>1</v>
      </c>
      <c r="F9" s="7"/>
      <c r="G9" s="7">
        <f t="shared" si="0"/>
        <v>4</v>
      </c>
      <c r="H9" s="6"/>
      <c r="I9" s="21"/>
      <c r="J9" s="7"/>
    </row>
    <row r="10" spans="2:10" ht="14.65">
      <c r="B10" s="20" t="s">
        <v>231</v>
      </c>
      <c r="C10" s="50" t="s">
        <v>134</v>
      </c>
      <c r="D10" s="6"/>
      <c r="E10" s="21">
        <v>3</v>
      </c>
      <c r="F10" s="7"/>
      <c r="G10" s="7">
        <f>SUM(D10:F10)</f>
        <v>3</v>
      </c>
      <c r="H10" s="6"/>
      <c r="I10" s="21"/>
      <c r="J10" s="7"/>
    </row>
    <row r="11" spans="2:10">
      <c r="B11" s="20" t="s">
        <v>232</v>
      </c>
      <c r="C11" s="50" t="s">
        <v>219</v>
      </c>
      <c r="D11" s="6">
        <v>1</v>
      </c>
      <c r="E11" s="21">
        <v>3</v>
      </c>
      <c r="F11" s="7"/>
      <c r="G11" s="7">
        <v>4</v>
      </c>
      <c r="H11" s="6"/>
      <c r="I11" s="21"/>
      <c r="J11" s="7"/>
    </row>
    <row r="12" spans="2:10" ht="14.65">
      <c r="B12" s="20" t="s">
        <v>173</v>
      </c>
      <c r="C12" s="50" t="s">
        <v>122</v>
      </c>
      <c r="D12" s="6">
        <v>1</v>
      </c>
      <c r="E12" s="21">
        <v>1</v>
      </c>
      <c r="F12" s="7"/>
      <c r="G12" s="7">
        <f t="shared" si="0"/>
        <v>2</v>
      </c>
      <c r="H12" s="6"/>
      <c r="I12" s="21"/>
      <c r="J12" s="7"/>
    </row>
    <row r="13" spans="2:10" ht="14.65">
      <c r="B13" s="20" t="s">
        <v>174</v>
      </c>
      <c r="C13" s="50" t="s">
        <v>123</v>
      </c>
      <c r="D13" s="6">
        <v>1</v>
      </c>
      <c r="E13" s="21"/>
      <c r="F13" s="7"/>
      <c r="G13" s="7">
        <f t="shared" si="0"/>
        <v>1</v>
      </c>
      <c r="H13" s="6"/>
      <c r="I13" s="21"/>
      <c r="J13" s="7"/>
    </row>
    <row r="14" spans="2:10" ht="14.65">
      <c r="B14" s="20" t="s">
        <v>172</v>
      </c>
      <c r="C14" s="50" t="s">
        <v>124</v>
      </c>
      <c r="D14" s="6">
        <v>2</v>
      </c>
      <c r="E14" s="21"/>
      <c r="F14" s="7"/>
      <c r="G14" s="10">
        <f t="shared" si="0"/>
        <v>2</v>
      </c>
      <c r="H14" s="8"/>
      <c r="I14" s="9"/>
      <c r="J14" s="10"/>
    </row>
    <row r="15" spans="2:10">
      <c r="B15" s="20" t="s">
        <v>220</v>
      </c>
      <c r="C15" s="50" t="s">
        <v>221</v>
      </c>
      <c r="D15" s="8">
        <v>3</v>
      </c>
      <c r="E15" s="9">
        <v>3</v>
      </c>
      <c r="F15" s="10"/>
      <c r="G15" s="9">
        <f t="shared" si="0"/>
        <v>6</v>
      </c>
      <c r="H15" s="8"/>
      <c r="I15" s="9"/>
      <c r="J15" s="10"/>
    </row>
    <row r="16" spans="2:10">
      <c r="B16" s="22"/>
      <c r="C16" s="11" t="s">
        <v>125</v>
      </c>
      <c r="D16" s="9"/>
      <c r="E16" s="9"/>
      <c r="F16" s="9"/>
      <c r="G16" s="9">
        <f>SUM(G5:G15)</f>
        <v>38</v>
      </c>
      <c r="H16" s="12">
        <f>SUM(H5:H14)</f>
        <v>0</v>
      </c>
      <c r="I16" s="13">
        <f>SUM(I5:I14)</f>
        <v>0</v>
      </c>
      <c r="J16" s="14">
        <f>SUM(J5:J14)</f>
        <v>0</v>
      </c>
    </row>
    <row r="33" spans="20:22">
      <c r="T33"/>
      <c r="U33"/>
      <c r="V33"/>
    </row>
    <row r="34" spans="20:22">
      <c r="T34"/>
      <c r="U34"/>
      <c r="V34"/>
    </row>
    <row r="35" spans="20:22">
      <c r="T35"/>
      <c r="U35"/>
      <c r="V35"/>
    </row>
    <row r="36" spans="20:22">
      <c r="T36"/>
      <c r="U36"/>
      <c r="V36"/>
    </row>
    <row r="37" spans="20:22">
      <c r="T37"/>
      <c r="U37"/>
      <c r="V37"/>
    </row>
    <row r="38" spans="20:22">
      <c r="T38"/>
      <c r="U38"/>
      <c r="V38"/>
    </row>
    <row r="39" spans="20:22">
      <c r="T39"/>
      <c r="U39"/>
      <c r="V39"/>
    </row>
    <row r="40" spans="20:22">
      <c r="T40"/>
      <c r="U40"/>
      <c r="V40"/>
    </row>
    <row r="41" spans="20:22">
      <c r="T41"/>
      <c r="U41"/>
      <c r="V41"/>
    </row>
    <row r="42" spans="20:22">
      <c r="T42"/>
      <c r="U42"/>
      <c r="V42"/>
    </row>
    <row r="43" spans="20:22">
      <c r="T43"/>
      <c r="U43"/>
      <c r="V43"/>
    </row>
    <row r="44" spans="20:22">
      <c r="T44"/>
      <c r="U44"/>
      <c r="V44"/>
    </row>
  </sheetData>
  <mergeCells count="5">
    <mergeCell ref="C3:C4"/>
    <mergeCell ref="D3:F3"/>
    <mergeCell ref="H3:J3"/>
    <mergeCell ref="B3:B4"/>
    <mergeCell ref="B2:J2"/>
  </mergeCells>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EB5B1-803D-9F40-B8A3-279252347DC4}">
  <dimension ref="A1:AR125"/>
  <sheetViews>
    <sheetView tabSelected="1" zoomScale="70" zoomScaleNormal="70" workbookViewId="0">
      <pane xSplit="3" ySplit="8" topLeftCell="D52" activePane="bottomRight" state="frozen"/>
      <selection pane="topRight" activeCell="D1" sqref="D1"/>
      <selection pane="bottomLeft" activeCell="A9" sqref="A9"/>
      <selection pane="bottomRight" activeCell="A54" sqref="A54:I60"/>
    </sheetView>
  </sheetViews>
  <sheetFormatPr defaultColWidth="8.796875" defaultRowHeight="13.9"/>
  <cols>
    <col min="1" max="1" width="15.33203125" style="1" customWidth="1"/>
    <col min="2" max="2" width="5.796875" style="1" customWidth="1"/>
    <col min="3" max="3" width="29.46484375" style="1" customWidth="1"/>
    <col min="4" max="4" width="16.796875" customWidth="1"/>
    <col min="5" max="5" width="62" customWidth="1"/>
    <col min="6" max="6" width="14.6640625" style="1" customWidth="1"/>
    <col min="7" max="7" width="37.796875" style="1" customWidth="1"/>
    <col min="8" max="8" width="47.33203125" style="1" customWidth="1"/>
    <col min="9" max="9" width="45" style="1" customWidth="1"/>
    <col min="10" max="44" width="8.796875" style="23"/>
    <col min="45" max="16384" width="8.796875" style="1"/>
  </cols>
  <sheetData>
    <row r="1" spans="1:44">
      <c r="A1" s="62"/>
      <c r="B1" s="62"/>
      <c r="C1" s="62"/>
      <c r="D1" s="62"/>
      <c r="E1" s="62"/>
      <c r="F1" s="62"/>
      <c r="G1" s="62"/>
      <c r="H1" s="62"/>
      <c r="I1" s="62"/>
    </row>
    <row r="2" spans="1:44">
      <c r="A2" s="62"/>
      <c r="B2" s="62"/>
      <c r="C2" s="62"/>
      <c r="D2" s="62"/>
      <c r="E2" s="62"/>
      <c r="F2" s="62"/>
      <c r="G2" s="62"/>
      <c r="H2" s="62"/>
      <c r="I2" s="62"/>
    </row>
    <row r="3" spans="1:44" ht="15">
      <c r="A3" s="2" t="s">
        <v>54</v>
      </c>
      <c r="B3" s="3"/>
      <c r="C3" s="3"/>
      <c r="D3" s="26"/>
      <c r="E3" s="26"/>
      <c r="F3" s="2" t="s">
        <v>48</v>
      </c>
      <c r="G3" s="3"/>
      <c r="H3" s="23"/>
      <c r="I3" s="25"/>
    </row>
    <row r="4" spans="1:44" ht="15">
      <c r="A4" s="2" t="s">
        <v>55</v>
      </c>
      <c r="B4" s="3"/>
      <c r="C4" s="3"/>
      <c r="D4" s="26"/>
      <c r="E4" s="26"/>
      <c r="F4" s="2" t="s">
        <v>49</v>
      </c>
      <c r="G4" s="3"/>
      <c r="H4" s="23"/>
      <c r="I4" s="25"/>
    </row>
    <row r="5" spans="1:44" ht="15.4" thickBot="1">
      <c r="A5" s="2" t="s">
        <v>56</v>
      </c>
      <c r="B5" s="3"/>
      <c r="C5" s="3"/>
      <c r="D5" s="26"/>
      <c r="E5" s="26"/>
      <c r="F5" s="2" t="s">
        <v>50</v>
      </c>
      <c r="G5" s="3"/>
      <c r="H5" s="23"/>
      <c r="I5" s="25"/>
    </row>
    <row r="6" spans="1:44">
      <c r="D6" s="63" t="s">
        <v>114</v>
      </c>
      <c r="E6" s="64"/>
      <c r="F6" s="23"/>
      <c r="H6" s="23"/>
      <c r="I6" s="23"/>
    </row>
    <row r="7" spans="1:44" ht="26" customHeight="1">
      <c r="A7" s="27" t="s">
        <v>57</v>
      </c>
      <c r="B7" s="27" t="s">
        <v>58</v>
      </c>
      <c r="C7" s="27" t="s">
        <v>0</v>
      </c>
      <c r="D7" s="28" t="s">
        <v>61</v>
      </c>
      <c r="E7" s="28" t="s">
        <v>108</v>
      </c>
      <c r="F7" s="27" t="s">
        <v>111</v>
      </c>
      <c r="G7" s="27" t="s">
        <v>99</v>
      </c>
      <c r="H7" s="27" t="s">
        <v>51</v>
      </c>
      <c r="I7" s="27" t="s">
        <v>112</v>
      </c>
    </row>
    <row r="8" spans="1:44" s="4" customFormat="1" ht="27.75">
      <c r="A8" s="29"/>
      <c r="B8" s="29"/>
      <c r="C8" s="29"/>
      <c r="D8" s="30"/>
      <c r="E8" s="30" t="s">
        <v>109</v>
      </c>
      <c r="F8" s="29"/>
      <c r="G8" s="29"/>
      <c r="H8" s="29"/>
      <c r="I8" s="29"/>
      <c r="J8" s="24"/>
      <c r="K8" s="24"/>
      <c r="L8" s="24"/>
      <c r="M8" s="24"/>
      <c r="N8" s="24"/>
      <c r="O8" s="24"/>
      <c r="P8" s="24"/>
      <c r="Q8" s="24"/>
      <c r="R8" s="24"/>
      <c r="S8" s="24"/>
      <c r="T8" s="24"/>
      <c r="U8" s="24"/>
      <c r="V8" s="24"/>
      <c r="W8" s="24"/>
      <c r="X8" s="24"/>
      <c r="Y8" s="24"/>
      <c r="Z8" s="24"/>
      <c r="AA8" s="24"/>
      <c r="AB8" s="24"/>
      <c r="AC8" s="24"/>
      <c r="AD8" s="24"/>
      <c r="AE8" s="24"/>
      <c r="AF8" s="24"/>
      <c r="AG8" s="24"/>
      <c r="AH8" s="24"/>
      <c r="AI8" s="24"/>
      <c r="AJ8" s="24"/>
      <c r="AK8" s="24"/>
      <c r="AL8" s="24"/>
      <c r="AM8" s="24"/>
      <c r="AN8" s="24"/>
      <c r="AO8" s="24"/>
      <c r="AP8" s="24"/>
      <c r="AQ8" s="24"/>
      <c r="AR8" s="24"/>
    </row>
    <row r="9" spans="1:44" ht="52.05" customHeight="1">
      <c r="A9" s="35" t="s">
        <v>135</v>
      </c>
      <c r="B9" s="35"/>
      <c r="C9" s="35" t="s">
        <v>126</v>
      </c>
      <c r="D9" s="67" t="s">
        <v>175</v>
      </c>
      <c r="E9" s="67"/>
      <c r="F9" s="36"/>
      <c r="G9" s="35"/>
      <c r="H9" s="36"/>
      <c r="I9" s="36"/>
    </row>
    <row r="10" spans="1:44" ht="52.05" customHeight="1">
      <c r="A10" s="31" t="s">
        <v>2</v>
      </c>
      <c r="B10" s="31" t="s">
        <v>1</v>
      </c>
      <c r="C10" s="31" t="s">
        <v>3</v>
      </c>
      <c r="D10" s="32" t="s">
        <v>47</v>
      </c>
      <c r="E10" s="32"/>
      <c r="F10" s="31" t="s">
        <v>4</v>
      </c>
      <c r="G10" s="31"/>
      <c r="H10" s="31" t="s">
        <v>78</v>
      </c>
      <c r="I10" s="31" t="s">
        <v>46</v>
      </c>
    </row>
    <row r="11" spans="1:44" ht="52.05" customHeight="1">
      <c r="A11" s="31" t="s">
        <v>160</v>
      </c>
      <c r="B11" s="31" t="s">
        <v>1</v>
      </c>
      <c r="C11" s="31" t="s">
        <v>7</v>
      </c>
      <c r="D11" s="32" t="s">
        <v>47</v>
      </c>
      <c r="E11" s="32"/>
      <c r="F11" s="31" t="s">
        <v>4</v>
      </c>
      <c r="G11" s="31"/>
      <c r="H11" s="31" t="s">
        <v>79</v>
      </c>
      <c r="I11" s="31" t="s">
        <v>8</v>
      </c>
    </row>
    <row r="12" spans="1:44" ht="52.05" customHeight="1">
      <c r="A12" s="31" t="s">
        <v>6</v>
      </c>
      <c r="B12" s="31" t="s">
        <v>1</v>
      </c>
      <c r="C12" s="31" t="s">
        <v>62</v>
      </c>
      <c r="D12" s="32" t="s">
        <v>47</v>
      </c>
      <c r="E12" s="32"/>
      <c r="F12" s="31" t="s">
        <v>5</v>
      </c>
      <c r="G12" s="31"/>
      <c r="H12" s="31" t="s">
        <v>80</v>
      </c>
      <c r="I12" s="31" t="s">
        <v>65</v>
      </c>
    </row>
    <row r="13" spans="1:44" ht="52.05" customHeight="1">
      <c r="A13" s="35" t="s">
        <v>213</v>
      </c>
      <c r="B13" s="35"/>
      <c r="C13" s="35" t="s">
        <v>129</v>
      </c>
      <c r="D13" s="67" t="s">
        <v>81</v>
      </c>
      <c r="E13" s="67"/>
      <c r="F13" s="36"/>
      <c r="G13" s="35"/>
      <c r="H13" s="36"/>
      <c r="I13" s="36"/>
    </row>
    <row r="14" spans="1:44" ht="52.05" customHeight="1">
      <c r="A14" s="31" t="s">
        <v>215</v>
      </c>
      <c r="B14" s="31" t="s">
        <v>9</v>
      </c>
      <c r="C14" s="31" t="s">
        <v>161</v>
      </c>
      <c r="D14" s="32" t="s">
        <v>47</v>
      </c>
      <c r="E14" s="32"/>
      <c r="F14" s="31" t="s">
        <v>10</v>
      </c>
      <c r="G14" s="31"/>
      <c r="H14" s="31" t="s">
        <v>162</v>
      </c>
      <c r="I14" s="31" t="s">
        <v>11</v>
      </c>
    </row>
    <row r="15" spans="1:44" ht="83.25">
      <c r="A15" s="65" t="s">
        <v>216</v>
      </c>
      <c r="B15" s="65" t="s">
        <v>9</v>
      </c>
      <c r="C15" s="65" t="s">
        <v>163</v>
      </c>
      <c r="D15" s="66" t="s">
        <v>47</v>
      </c>
      <c r="E15" s="66"/>
      <c r="F15" s="65" t="s">
        <v>4</v>
      </c>
      <c r="G15" s="65"/>
      <c r="H15" s="65" t="s">
        <v>12</v>
      </c>
      <c r="I15" s="31" t="s">
        <v>13</v>
      </c>
    </row>
    <row r="16" spans="1:44" ht="41.65">
      <c r="A16" s="65"/>
      <c r="B16" s="65"/>
      <c r="C16" s="65"/>
      <c r="D16" s="66"/>
      <c r="E16" s="66"/>
      <c r="F16" s="65"/>
      <c r="G16" s="65"/>
      <c r="H16" s="65"/>
      <c r="I16" s="31" t="s">
        <v>14</v>
      </c>
    </row>
    <row r="17" spans="1:9" ht="152.65">
      <c r="A17" s="31" t="s">
        <v>217</v>
      </c>
      <c r="B17" s="31" t="s">
        <v>9</v>
      </c>
      <c r="C17" s="31" t="s">
        <v>82</v>
      </c>
      <c r="D17" s="32" t="s">
        <v>47</v>
      </c>
      <c r="E17" s="32"/>
      <c r="F17" s="31" t="s">
        <v>10</v>
      </c>
      <c r="G17" s="31"/>
      <c r="H17" s="31" t="s">
        <v>110</v>
      </c>
      <c r="I17" s="31" t="s">
        <v>63</v>
      </c>
    </row>
    <row r="18" spans="1:9" ht="83.25">
      <c r="A18" s="31" t="s">
        <v>214</v>
      </c>
      <c r="B18" s="31" t="s">
        <v>9</v>
      </c>
      <c r="C18" s="31" t="s">
        <v>153</v>
      </c>
      <c r="D18" s="32" t="s">
        <v>47</v>
      </c>
      <c r="E18" s="32"/>
      <c r="F18" s="31" t="s">
        <v>4</v>
      </c>
      <c r="G18" s="31"/>
      <c r="H18" s="31" t="s">
        <v>83</v>
      </c>
      <c r="I18" s="31" t="s">
        <v>64</v>
      </c>
    </row>
    <row r="19" spans="1:9" ht="32" customHeight="1">
      <c r="A19" s="38" t="s">
        <v>136</v>
      </c>
      <c r="B19" s="38"/>
      <c r="C19" s="38" t="s">
        <v>15</v>
      </c>
      <c r="D19" s="69" t="s">
        <v>176</v>
      </c>
      <c r="E19" s="69"/>
      <c r="F19" s="39"/>
      <c r="G19" s="38"/>
      <c r="H19" s="39"/>
      <c r="I19" s="39"/>
    </row>
    <row r="20" spans="1:9" ht="111">
      <c r="A20" s="31" t="s">
        <v>16</v>
      </c>
      <c r="B20" s="31" t="s">
        <v>15</v>
      </c>
      <c r="C20" s="31" t="s">
        <v>191</v>
      </c>
      <c r="D20" s="32" t="s">
        <v>47</v>
      </c>
      <c r="E20" s="32"/>
      <c r="F20" s="31" t="s">
        <v>4</v>
      </c>
      <c r="G20" s="31"/>
      <c r="H20" s="31" t="s">
        <v>84</v>
      </c>
      <c r="I20" s="31" t="s">
        <v>190</v>
      </c>
    </row>
    <row r="21" spans="1:9" ht="41.65">
      <c r="A21" s="31" t="s">
        <v>164</v>
      </c>
      <c r="B21" s="31" t="s">
        <v>15</v>
      </c>
      <c r="C21" s="31" t="s">
        <v>226</v>
      </c>
      <c r="D21" s="32" t="s">
        <v>47</v>
      </c>
      <c r="E21" s="32"/>
      <c r="F21" s="31" t="s">
        <v>5</v>
      </c>
      <c r="G21" s="31"/>
      <c r="H21" s="31" t="s">
        <v>225</v>
      </c>
      <c r="I21" s="31" t="s">
        <v>224</v>
      </c>
    </row>
    <row r="22" spans="1:9" ht="41.65">
      <c r="A22" s="65" t="s">
        <v>165</v>
      </c>
      <c r="B22" s="65" t="s">
        <v>15</v>
      </c>
      <c r="C22" s="65" t="s">
        <v>154</v>
      </c>
      <c r="D22" s="66" t="s">
        <v>47</v>
      </c>
      <c r="E22" s="66"/>
      <c r="F22" s="65" t="s">
        <v>4</v>
      </c>
      <c r="G22" s="65"/>
      <c r="H22" s="65" t="s">
        <v>85</v>
      </c>
      <c r="I22" s="31" t="s">
        <v>17</v>
      </c>
    </row>
    <row r="23" spans="1:9">
      <c r="A23" s="65"/>
      <c r="B23" s="65"/>
      <c r="C23" s="65"/>
      <c r="D23" s="66"/>
      <c r="E23" s="66"/>
      <c r="F23" s="65"/>
      <c r="G23" s="65"/>
      <c r="H23" s="65"/>
      <c r="I23" s="31"/>
    </row>
    <row r="24" spans="1:9" ht="55.5">
      <c r="A24" s="65"/>
      <c r="B24" s="65"/>
      <c r="C24" s="65"/>
      <c r="D24" s="66"/>
      <c r="E24" s="68"/>
      <c r="F24" s="65"/>
      <c r="G24" s="65"/>
      <c r="H24" s="65"/>
      <c r="I24" s="31" t="s">
        <v>67</v>
      </c>
    </row>
    <row r="25" spans="1:9" ht="69.400000000000006">
      <c r="A25" s="31" t="s">
        <v>166</v>
      </c>
      <c r="B25" s="31" t="s">
        <v>15</v>
      </c>
      <c r="C25" s="31" t="s">
        <v>75</v>
      </c>
      <c r="D25" s="43" t="s">
        <v>47</v>
      </c>
      <c r="E25" s="45"/>
      <c r="F25" s="44" t="s">
        <v>4</v>
      </c>
      <c r="G25" s="31"/>
      <c r="H25" s="31" t="s">
        <v>19</v>
      </c>
      <c r="I25" s="31" t="s">
        <v>76</v>
      </c>
    </row>
    <row r="26" spans="1:9" ht="32" customHeight="1">
      <c r="A26" s="38" t="s">
        <v>52</v>
      </c>
      <c r="B26" s="38"/>
      <c r="C26" s="38" t="s">
        <v>128</v>
      </c>
      <c r="D26" s="69" t="s">
        <v>177</v>
      </c>
      <c r="E26" s="70"/>
      <c r="F26" s="39"/>
      <c r="G26" s="38"/>
      <c r="H26" s="39"/>
      <c r="I26" s="39"/>
    </row>
    <row r="27" spans="1:9" ht="83.25">
      <c r="A27" s="31" t="s">
        <v>155</v>
      </c>
      <c r="B27" s="31" t="s">
        <v>20</v>
      </c>
      <c r="C27" s="31" t="s">
        <v>156</v>
      </c>
      <c r="D27" s="32" t="s">
        <v>47</v>
      </c>
      <c r="E27" s="32"/>
      <c r="F27" s="31" t="s">
        <v>4</v>
      </c>
      <c r="G27" s="31"/>
      <c r="H27" s="31" t="s">
        <v>148</v>
      </c>
      <c r="I27" s="31" t="s">
        <v>107</v>
      </c>
    </row>
    <row r="28" spans="1:9" ht="97.15">
      <c r="A28" s="31" t="s">
        <v>147</v>
      </c>
      <c r="B28" s="31" t="s">
        <v>20</v>
      </c>
      <c r="C28" s="31" t="s">
        <v>92</v>
      </c>
      <c r="D28" s="32" t="s">
        <v>47</v>
      </c>
      <c r="E28" s="32"/>
      <c r="F28" s="31" t="s">
        <v>5</v>
      </c>
      <c r="G28" s="31"/>
      <c r="H28" s="31" t="s">
        <v>223</v>
      </c>
      <c r="I28" s="34" t="s">
        <v>104</v>
      </c>
    </row>
    <row r="29" spans="1:9" ht="83.65" thickBot="1">
      <c r="A29" s="31" t="s">
        <v>18</v>
      </c>
      <c r="B29" s="31" t="s">
        <v>20</v>
      </c>
      <c r="C29" s="31" t="s">
        <v>77</v>
      </c>
      <c r="D29" s="32" t="s">
        <v>47</v>
      </c>
      <c r="E29" s="32"/>
      <c r="F29" s="31" t="s">
        <v>5</v>
      </c>
      <c r="G29" s="31"/>
      <c r="H29" s="31" t="s">
        <v>68</v>
      </c>
      <c r="I29" s="31" t="s">
        <v>106</v>
      </c>
    </row>
    <row r="30" spans="1:9" ht="83.65" thickBot="1">
      <c r="A30" s="31" t="s">
        <v>21</v>
      </c>
      <c r="B30" s="31" t="s">
        <v>20</v>
      </c>
      <c r="C30" s="31" t="s">
        <v>93</v>
      </c>
      <c r="D30" s="32" t="s">
        <v>47</v>
      </c>
      <c r="E30" s="40"/>
      <c r="F30" s="31" t="s">
        <v>4</v>
      </c>
      <c r="G30" s="31"/>
      <c r="H30" s="31" t="s">
        <v>86</v>
      </c>
      <c r="I30" s="31" t="s">
        <v>105</v>
      </c>
    </row>
    <row r="31" spans="1:9" ht="83.25">
      <c r="A31" s="31" t="s">
        <v>22</v>
      </c>
      <c r="B31" s="31" t="s">
        <v>20</v>
      </c>
      <c r="C31" s="31" t="s">
        <v>26</v>
      </c>
      <c r="D31" s="32" t="s">
        <v>47</v>
      </c>
      <c r="E31" s="32"/>
      <c r="F31" s="31" t="s">
        <v>5</v>
      </c>
      <c r="G31" s="31"/>
      <c r="H31" s="31" t="s">
        <v>66</v>
      </c>
      <c r="I31" s="31"/>
    </row>
    <row r="32" spans="1:9" ht="44" customHeight="1">
      <c r="A32" s="38" t="s">
        <v>52</v>
      </c>
      <c r="B32" s="38"/>
      <c r="C32" s="38" t="s">
        <v>127</v>
      </c>
      <c r="D32" s="69" t="s">
        <v>178</v>
      </c>
      <c r="E32" s="69"/>
      <c r="F32" s="39"/>
      <c r="G32" s="38"/>
      <c r="H32" s="39"/>
      <c r="I32" s="39"/>
    </row>
    <row r="33" spans="1:9" ht="83.25">
      <c r="A33" s="31" t="s">
        <v>149</v>
      </c>
      <c r="B33" s="31" t="s">
        <v>27</v>
      </c>
      <c r="C33" s="31" t="s">
        <v>28</v>
      </c>
      <c r="D33" s="32" t="s">
        <v>47</v>
      </c>
      <c r="E33" s="32"/>
      <c r="F33" s="31" t="s">
        <v>10</v>
      </c>
      <c r="G33" s="31"/>
      <c r="H33" s="31" t="s">
        <v>157</v>
      </c>
      <c r="I33" s="65"/>
    </row>
    <row r="34" spans="1:9" ht="83.25">
      <c r="A34" s="31" t="s">
        <v>150</v>
      </c>
      <c r="B34" s="31" t="s">
        <v>27</v>
      </c>
      <c r="C34" s="31" t="s">
        <v>151</v>
      </c>
      <c r="D34" s="32" t="s">
        <v>47</v>
      </c>
      <c r="E34" s="32"/>
      <c r="F34" s="31" t="s">
        <v>10</v>
      </c>
      <c r="G34" s="31"/>
      <c r="H34" s="31" t="s">
        <v>94</v>
      </c>
      <c r="I34" s="65"/>
    </row>
    <row r="35" spans="1:9" ht="97.15">
      <c r="A35" s="31" t="s">
        <v>23</v>
      </c>
      <c r="B35" s="31" t="s">
        <v>27</v>
      </c>
      <c r="C35" s="31" t="s">
        <v>29</v>
      </c>
      <c r="D35" s="32" t="s">
        <v>47</v>
      </c>
      <c r="E35" s="32"/>
      <c r="F35" s="31" t="s">
        <v>10</v>
      </c>
      <c r="G35" s="31"/>
      <c r="H35" s="31" t="s">
        <v>158</v>
      </c>
      <c r="I35" s="65"/>
    </row>
    <row r="36" spans="1:9" ht="83.25">
      <c r="A36" s="31" t="s">
        <v>24</v>
      </c>
      <c r="B36" s="31" t="s">
        <v>27</v>
      </c>
      <c r="C36" s="31" t="s">
        <v>30</v>
      </c>
      <c r="D36" s="32" t="s">
        <v>47</v>
      </c>
      <c r="E36" s="32"/>
      <c r="F36" s="31" t="s">
        <v>115</v>
      </c>
      <c r="G36" s="31"/>
      <c r="H36" s="31" t="s">
        <v>87</v>
      </c>
      <c r="I36" s="31" t="s">
        <v>95</v>
      </c>
    </row>
    <row r="37" spans="1:9" ht="15" thickBot="1">
      <c r="A37" s="38" t="s">
        <v>52</v>
      </c>
      <c r="B37" s="38"/>
      <c r="C37" s="38" t="s">
        <v>130</v>
      </c>
      <c r="D37" s="69" t="s">
        <v>179</v>
      </c>
      <c r="E37" s="69"/>
      <c r="F37" s="39"/>
      <c r="G37" s="38"/>
      <c r="H37" s="39"/>
      <c r="I37" s="39"/>
    </row>
    <row r="38" spans="1:9" ht="111.4" thickBot="1">
      <c r="A38" s="31" t="s">
        <v>152</v>
      </c>
      <c r="B38" s="31" t="s">
        <v>31</v>
      </c>
      <c r="C38" s="31" t="s">
        <v>228</v>
      </c>
      <c r="D38" s="32" t="s">
        <v>47</v>
      </c>
      <c r="E38" s="40"/>
      <c r="F38" s="31" t="s">
        <v>10</v>
      </c>
      <c r="G38" s="31"/>
      <c r="H38" s="31" t="s">
        <v>227</v>
      </c>
      <c r="I38" s="31"/>
    </row>
    <row r="39" spans="1:9" ht="152.65">
      <c r="A39" s="31" t="s">
        <v>229</v>
      </c>
      <c r="B39" s="31" t="s">
        <v>32</v>
      </c>
      <c r="C39" s="31" t="s">
        <v>88</v>
      </c>
      <c r="D39" s="32" t="s">
        <v>47</v>
      </c>
      <c r="E39" s="32"/>
      <c r="F39" s="31" t="s">
        <v>4</v>
      </c>
      <c r="G39" s="31"/>
      <c r="H39" s="31" t="s">
        <v>89</v>
      </c>
      <c r="I39" s="31"/>
    </row>
    <row r="40" spans="1:9" ht="78" customHeight="1">
      <c r="A40" s="31" t="s">
        <v>25</v>
      </c>
      <c r="B40" s="31" t="s">
        <v>32</v>
      </c>
      <c r="C40" s="31" t="s">
        <v>90</v>
      </c>
      <c r="D40" s="32" t="s">
        <v>47</v>
      </c>
      <c r="E40" s="32"/>
      <c r="F40" s="31" t="s">
        <v>4</v>
      </c>
      <c r="G40" s="31"/>
      <c r="H40" s="31" t="s">
        <v>91</v>
      </c>
      <c r="I40" s="31"/>
    </row>
    <row r="41" spans="1:9" ht="14.65">
      <c r="A41" s="41" t="s">
        <v>52</v>
      </c>
      <c r="B41" s="41"/>
      <c r="C41" s="41" t="s">
        <v>219</v>
      </c>
      <c r="D41" s="71" t="s">
        <v>182</v>
      </c>
      <c r="E41" s="71"/>
      <c r="F41" s="42"/>
      <c r="G41" s="41"/>
      <c r="H41" s="42"/>
      <c r="I41" s="42"/>
    </row>
    <row r="42" spans="1:9" ht="138.75">
      <c r="A42" s="31" t="s">
        <v>230</v>
      </c>
      <c r="B42" s="31" t="s">
        <v>33</v>
      </c>
      <c r="C42" s="31" t="s">
        <v>143</v>
      </c>
      <c r="D42" s="32" t="s">
        <v>183</v>
      </c>
      <c r="E42" s="33"/>
      <c r="F42" s="31" t="s">
        <v>10</v>
      </c>
      <c r="G42" s="31"/>
      <c r="H42" s="31" t="s">
        <v>141</v>
      </c>
      <c r="I42" s="31"/>
    </row>
    <row r="43" spans="1:9" ht="97.15">
      <c r="A43" s="31" t="s">
        <v>184</v>
      </c>
      <c r="B43" s="31" t="s">
        <v>33</v>
      </c>
      <c r="C43" s="31" t="s">
        <v>113</v>
      </c>
      <c r="D43" s="32" t="s">
        <v>183</v>
      </c>
      <c r="E43" s="33"/>
      <c r="F43" s="31" t="s">
        <v>4</v>
      </c>
      <c r="G43" s="31"/>
      <c r="H43" s="31" t="s">
        <v>100</v>
      </c>
      <c r="I43" s="31"/>
    </row>
    <row r="44" spans="1:9" ht="97.15">
      <c r="A44" s="31" t="s">
        <v>185</v>
      </c>
      <c r="B44" s="31" t="s">
        <v>33</v>
      </c>
      <c r="C44" s="31" t="s">
        <v>96</v>
      </c>
      <c r="D44" s="32" t="s">
        <v>183</v>
      </c>
      <c r="E44" s="33"/>
      <c r="F44" s="31" t="s">
        <v>4</v>
      </c>
      <c r="G44" s="31"/>
      <c r="H44" s="31" t="s">
        <v>97</v>
      </c>
      <c r="I44" s="31"/>
    </row>
    <row r="45" spans="1:9" ht="97.15">
      <c r="A45" s="31" t="s">
        <v>186</v>
      </c>
      <c r="B45" s="31" t="s">
        <v>33</v>
      </c>
      <c r="C45" s="31" t="s">
        <v>187</v>
      </c>
      <c r="D45" s="32" t="s">
        <v>183</v>
      </c>
      <c r="E45" s="33"/>
      <c r="F45" s="31" t="s">
        <v>4</v>
      </c>
      <c r="G45" s="31"/>
      <c r="H45" s="31" t="s">
        <v>189</v>
      </c>
      <c r="I45" s="31" t="s">
        <v>188</v>
      </c>
    </row>
    <row r="46" spans="1:9" ht="53" customHeight="1" thickBot="1">
      <c r="A46" s="35" t="s">
        <v>137</v>
      </c>
      <c r="B46" s="35"/>
      <c r="C46" s="35" t="s">
        <v>34</v>
      </c>
      <c r="D46" s="67" t="s">
        <v>180</v>
      </c>
      <c r="E46" s="67"/>
      <c r="F46" s="35"/>
      <c r="G46" s="35"/>
      <c r="H46" s="36"/>
      <c r="I46" s="36"/>
    </row>
    <row r="47" spans="1:9" ht="153" thickBot="1">
      <c r="A47" s="31" t="s">
        <v>35</v>
      </c>
      <c r="B47" s="31" t="s">
        <v>34</v>
      </c>
      <c r="C47" s="31" t="s">
        <v>36</v>
      </c>
      <c r="D47" s="32" t="s">
        <v>47</v>
      </c>
      <c r="E47" s="40"/>
      <c r="F47" s="31" t="s">
        <v>10</v>
      </c>
      <c r="G47" s="31"/>
      <c r="H47" s="31" t="s">
        <v>70</v>
      </c>
      <c r="I47" s="31" t="s">
        <v>37</v>
      </c>
    </row>
    <row r="48" spans="1:9" s="23" customFormat="1" ht="69.75" thickBot="1">
      <c r="A48" s="31" t="s">
        <v>222</v>
      </c>
      <c r="B48" s="31" t="s">
        <v>34</v>
      </c>
      <c r="C48" s="31" t="s">
        <v>72</v>
      </c>
      <c r="D48" s="32" t="s">
        <v>47</v>
      </c>
      <c r="E48" s="40"/>
      <c r="F48" s="31" t="s">
        <v>4</v>
      </c>
      <c r="G48" s="31"/>
      <c r="H48" s="31" t="s">
        <v>73</v>
      </c>
      <c r="I48" s="31" t="s">
        <v>74</v>
      </c>
    </row>
    <row r="49" spans="1:9" s="23" customFormat="1" ht="14.65">
      <c r="A49" s="35" t="s">
        <v>138</v>
      </c>
      <c r="B49" s="35"/>
      <c r="C49" s="35" t="s">
        <v>38</v>
      </c>
      <c r="D49" s="67" t="s">
        <v>98</v>
      </c>
      <c r="E49" s="67"/>
      <c r="F49" s="36"/>
      <c r="G49" s="35"/>
      <c r="H49" s="36"/>
      <c r="I49" s="36"/>
    </row>
    <row r="50" spans="1:9" s="23" customFormat="1" ht="152.65">
      <c r="A50" s="31" t="s">
        <v>39</v>
      </c>
      <c r="B50" s="31" t="s">
        <v>38</v>
      </c>
      <c r="C50" s="31" t="s">
        <v>40</v>
      </c>
      <c r="D50" s="32" t="s">
        <v>47</v>
      </c>
      <c r="E50" s="32"/>
      <c r="F50" s="31" t="s">
        <v>10</v>
      </c>
      <c r="G50" s="31"/>
      <c r="H50" s="31" t="s">
        <v>69</v>
      </c>
      <c r="I50" s="31" t="s">
        <v>41</v>
      </c>
    </row>
    <row r="51" spans="1:9" s="23" customFormat="1" ht="14.65">
      <c r="A51" s="35" t="s">
        <v>53</v>
      </c>
      <c r="B51" s="35"/>
      <c r="C51" s="35" t="s">
        <v>42</v>
      </c>
      <c r="D51" s="67" t="s">
        <v>181</v>
      </c>
      <c r="E51" s="67"/>
      <c r="F51" s="36"/>
      <c r="G51" s="35"/>
      <c r="H51" s="36"/>
      <c r="I51" s="36"/>
    </row>
    <row r="52" spans="1:9" s="23" customFormat="1" ht="97.15">
      <c r="A52" s="31" t="s">
        <v>43</v>
      </c>
      <c r="B52" s="31" t="s">
        <v>42</v>
      </c>
      <c r="C52" s="31" t="s">
        <v>44</v>
      </c>
      <c r="D52" s="32" t="s">
        <v>47</v>
      </c>
      <c r="E52" s="32"/>
      <c r="F52" s="31" t="s">
        <v>10</v>
      </c>
      <c r="G52" s="31"/>
      <c r="H52" s="31" t="s">
        <v>71</v>
      </c>
      <c r="I52" s="37" t="s">
        <v>45</v>
      </c>
    </row>
    <row r="53" spans="1:9" s="23" customFormat="1" ht="97.15">
      <c r="A53" s="31" t="s">
        <v>167</v>
      </c>
      <c r="B53" s="31" t="s">
        <v>42</v>
      </c>
      <c r="C53" s="31" t="s">
        <v>101</v>
      </c>
      <c r="D53" s="32" t="s">
        <v>47</v>
      </c>
      <c r="E53" s="32"/>
      <c r="F53" s="31" t="s">
        <v>10</v>
      </c>
      <c r="G53" s="31"/>
      <c r="H53" s="31" t="s">
        <v>102</v>
      </c>
      <c r="I53" s="31" t="s">
        <v>103</v>
      </c>
    </row>
    <row r="54" spans="1:9" s="23" customFormat="1" ht="78" customHeight="1">
      <c r="A54" s="35" t="s">
        <v>192</v>
      </c>
      <c r="B54" s="35"/>
      <c r="C54" s="35" t="s">
        <v>234</v>
      </c>
      <c r="D54" s="67" t="s">
        <v>193</v>
      </c>
      <c r="E54" s="67"/>
      <c r="F54" s="36"/>
      <c r="G54" s="35"/>
      <c r="H54" s="36"/>
      <c r="I54" s="36"/>
    </row>
    <row r="55" spans="1:9" s="23" customFormat="1" ht="111">
      <c r="A55" s="31" t="s">
        <v>194</v>
      </c>
      <c r="B55" s="31" t="s">
        <v>42</v>
      </c>
      <c r="C55" s="31" t="s">
        <v>233</v>
      </c>
      <c r="D55" s="32" t="s">
        <v>47</v>
      </c>
      <c r="E55" s="32"/>
      <c r="F55" s="31" t="s">
        <v>10</v>
      </c>
      <c r="G55" s="31"/>
      <c r="H55" s="31" t="s">
        <v>207</v>
      </c>
      <c r="I55" s="37"/>
    </row>
    <row r="56" spans="1:9" s="23" customFormat="1" ht="97.15">
      <c r="A56" s="31" t="s">
        <v>195</v>
      </c>
      <c r="B56" s="31" t="s">
        <v>42</v>
      </c>
      <c r="C56" s="31" t="s">
        <v>200</v>
      </c>
      <c r="D56" s="32" t="s">
        <v>47</v>
      </c>
      <c r="E56" s="32"/>
      <c r="F56" s="31" t="s">
        <v>10</v>
      </c>
      <c r="G56" s="31"/>
      <c r="H56" s="31" t="s">
        <v>208</v>
      </c>
      <c r="I56" s="31"/>
    </row>
    <row r="57" spans="1:9" s="23" customFormat="1" ht="97.15">
      <c r="A57" s="31" t="s">
        <v>196</v>
      </c>
      <c r="B57" s="31" t="s">
        <v>42</v>
      </c>
      <c r="C57" s="31" t="s">
        <v>201</v>
      </c>
      <c r="D57" s="32" t="s">
        <v>47</v>
      </c>
      <c r="E57" s="32"/>
      <c r="F57" s="31" t="s">
        <v>10</v>
      </c>
      <c r="G57" s="31"/>
      <c r="H57" s="31" t="s">
        <v>209</v>
      </c>
      <c r="I57" s="37"/>
    </row>
    <row r="58" spans="1:9" s="23" customFormat="1" ht="97.15">
      <c r="A58" s="31" t="s">
        <v>197</v>
      </c>
      <c r="B58" s="31" t="s">
        <v>42</v>
      </c>
      <c r="C58" s="31" t="s">
        <v>202</v>
      </c>
      <c r="D58" s="32" t="s">
        <v>47</v>
      </c>
      <c r="E58" s="32"/>
      <c r="F58" s="31" t="s">
        <v>4</v>
      </c>
      <c r="G58" s="31"/>
      <c r="H58" s="31" t="s">
        <v>210</v>
      </c>
      <c r="I58" s="31"/>
    </row>
    <row r="59" spans="1:9" s="23" customFormat="1" ht="124.9">
      <c r="A59" s="31" t="s">
        <v>198</v>
      </c>
      <c r="B59" s="31" t="s">
        <v>42</v>
      </c>
      <c r="C59" s="31" t="s">
        <v>203</v>
      </c>
      <c r="D59" s="32" t="s">
        <v>47</v>
      </c>
      <c r="E59" s="32"/>
      <c r="F59" s="31" t="s">
        <v>4</v>
      </c>
      <c r="G59" s="31"/>
      <c r="H59" s="31" t="s">
        <v>211</v>
      </c>
      <c r="I59" s="46" t="s">
        <v>205</v>
      </c>
    </row>
    <row r="60" spans="1:9" s="23" customFormat="1" ht="97.15">
      <c r="A60" s="31" t="s">
        <v>199</v>
      </c>
      <c r="B60" s="31" t="s">
        <v>42</v>
      </c>
      <c r="C60" s="31" t="s">
        <v>204</v>
      </c>
      <c r="D60" s="32" t="s">
        <v>47</v>
      </c>
      <c r="E60" s="32"/>
      <c r="F60" s="31" t="s">
        <v>4</v>
      </c>
      <c r="G60" s="31"/>
      <c r="H60" s="31" t="s">
        <v>212</v>
      </c>
      <c r="I60" s="31" t="s">
        <v>206</v>
      </c>
    </row>
    <row r="61" spans="1:9" s="23" customFormat="1">
      <c r="D61" s="25"/>
      <c r="E61" s="25"/>
    </row>
    <row r="62" spans="1:9" s="23" customFormat="1">
      <c r="D62" s="25"/>
      <c r="E62" s="25"/>
    </row>
    <row r="63" spans="1:9" s="23" customFormat="1">
      <c r="D63" s="25"/>
      <c r="E63" s="25"/>
    </row>
    <row r="64" spans="1:9" s="23" customFormat="1">
      <c r="D64" s="25"/>
      <c r="E64" s="25"/>
    </row>
    <row r="65" spans="4:5" s="23" customFormat="1">
      <c r="D65" s="25"/>
      <c r="E65" s="25"/>
    </row>
    <row r="66" spans="4:5" s="23" customFormat="1">
      <c r="D66" s="25"/>
      <c r="E66" s="25"/>
    </row>
    <row r="67" spans="4:5" s="23" customFormat="1">
      <c r="D67" s="25"/>
      <c r="E67" s="25"/>
    </row>
    <row r="68" spans="4:5" s="23" customFormat="1">
      <c r="D68" s="25"/>
      <c r="E68" s="25"/>
    </row>
    <row r="69" spans="4:5" s="23" customFormat="1">
      <c r="D69" s="25"/>
      <c r="E69" s="25"/>
    </row>
    <row r="70" spans="4:5" s="23" customFormat="1">
      <c r="D70" s="25"/>
      <c r="E70" s="25"/>
    </row>
    <row r="71" spans="4:5" s="23" customFormat="1">
      <c r="D71" s="25"/>
      <c r="E71" s="25"/>
    </row>
    <row r="72" spans="4:5" s="23" customFormat="1">
      <c r="D72" s="25"/>
      <c r="E72" s="25"/>
    </row>
    <row r="73" spans="4:5" s="23" customFormat="1">
      <c r="D73" s="25"/>
      <c r="E73" s="25"/>
    </row>
    <row r="74" spans="4:5" s="23" customFormat="1">
      <c r="D74" s="25"/>
      <c r="E74" s="25"/>
    </row>
    <row r="75" spans="4:5" s="23" customFormat="1">
      <c r="D75" s="25"/>
      <c r="E75" s="25"/>
    </row>
    <row r="76" spans="4:5" s="23" customFormat="1">
      <c r="D76" s="25"/>
      <c r="E76" s="25"/>
    </row>
    <row r="77" spans="4:5" s="23" customFormat="1">
      <c r="D77" s="25"/>
      <c r="E77" s="25"/>
    </row>
    <row r="78" spans="4:5" s="23" customFormat="1">
      <c r="D78" s="25"/>
      <c r="E78" s="25"/>
    </row>
    <row r="79" spans="4:5" s="23" customFormat="1">
      <c r="D79" s="25"/>
      <c r="E79" s="25"/>
    </row>
    <row r="80" spans="4:5" s="23" customFormat="1">
      <c r="D80" s="25"/>
      <c r="E80" s="25"/>
    </row>
    <row r="81" spans="4:5" s="23" customFormat="1">
      <c r="D81" s="25"/>
      <c r="E81" s="25"/>
    </row>
    <row r="82" spans="4:5" s="23" customFormat="1">
      <c r="D82" s="25"/>
      <c r="E82" s="25"/>
    </row>
    <row r="83" spans="4:5" s="23" customFormat="1">
      <c r="D83" s="25"/>
      <c r="E83" s="25"/>
    </row>
    <row r="84" spans="4:5" s="23" customFormat="1">
      <c r="D84" s="25"/>
      <c r="E84" s="25"/>
    </row>
    <row r="85" spans="4:5" s="23" customFormat="1">
      <c r="D85" s="25"/>
      <c r="E85" s="25"/>
    </row>
    <row r="86" spans="4:5" s="23" customFormat="1">
      <c r="D86" s="25"/>
      <c r="E86" s="25"/>
    </row>
    <row r="87" spans="4:5" s="23" customFormat="1">
      <c r="D87" s="25"/>
      <c r="E87" s="25"/>
    </row>
    <row r="88" spans="4:5" s="23" customFormat="1">
      <c r="D88" s="25"/>
      <c r="E88" s="25"/>
    </row>
    <row r="89" spans="4:5" s="23" customFormat="1">
      <c r="D89" s="25"/>
      <c r="E89" s="25"/>
    </row>
    <row r="90" spans="4:5" s="23" customFormat="1">
      <c r="D90" s="25"/>
      <c r="E90" s="25"/>
    </row>
    <row r="91" spans="4:5" s="23" customFormat="1">
      <c r="D91" s="25"/>
      <c r="E91" s="25"/>
    </row>
    <row r="92" spans="4:5" s="23" customFormat="1">
      <c r="D92" s="25"/>
      <c r="E92" s="25"/>
    </row>
    <row r="93" spans="4:5" s="23" customFormat="1">
      <c r="D93" s="25"/>
      <c r="E93" s="25"/>
    </row>
    <row r="94" spans="4:5" s="23" customFormat="1">
      <c r="D94" s="25"/>
      <c r="E94" s="25"/>
    </row>
    <row r="95" spans="4:5" s="23" customFormat="1">
      <c r="D95" s="25"/>
      <c r="E95" s="25"/>
    </row>
    <row r="96" spans="4:5" s="23" customFormat="1">
      <c r="D96" s="25"/>
      <c r="E96" s="25"/>
    </row>
    <row r="97" spans="4:5" s="23" customFormat="1">
      <c r="D97" s="25"/>
      <c r="E97" s="25"/>
    </row>
    <row r="98" spans="4:5" s="23" customFormat="1">
      <c r="D98" s="25"/>
      <c r="E98" s="25"/>
    </row>
    <row r="99" spans="4:5" s="23" customFormat="1">
      <c r="D99" s="25"/>
      <c r="E99" s="25"/>
    </row>
    <row r="100" spans="4:5" s="23" customFormat="1">
      <c r="D100" s="25"/>
      <c r="E100" s="25"/>
    </row>
    <row r="101" spans="4:5" s="23" customFormat="1">
      <c r="D101" s="25"/>
      <c r="E101" s="25"/>
    </row>
    <row r="102" spans="4:5" s="23" customFormat="1">
      <c r="D102" s="25"/>
      <c r="E102" s="25"/>
    </row>
    <row r="103" spans="4:5" s="23" customFormat="1">
      <c r="D103" s="25"/>
      <c r="E103" s="25"/>
    </row>
    <row r="104" spans="4:5" s="23" customFormat="1">
      <c r="D104" s="25"/>
      <c r="E104" s="25"/>
    </row>
    <row r="105" spans="4:5" s="23" customFormat="1">
      <c r="D105" s="25"/>
      <c r="E105" s="25"/>
    </row>
    <row r="106" spans="4:5" s="23" customFormat="1">
      <c r="D106" s="25"/>
      <c r="E106" s="25"/>
    </row>
    <row r="107" spans="4:5" s="23" customFormat="1">
      <c r="D107" s="25"/>
      <c r="E107" s="25"/>
    </row>
    <row r="108" spans="4:5" s="23" customFormat="1">
      <c r="D108" s="25"/>
      <c r="E108" s="25"/>
    </row>
    <row r="109" spans="4:5" s="23" customFormat="1">
      <c r="D109" s="25"/>
      <c r="E109" s="25"/>
    </row>
    <row r="110" spans="4:5" s="23" customFormat="1">
      <c r="D110" s="25"/>
      <c r="E110" s="25"/>
    </row>
    <row r="111" spans="4:5" s="23" customFormat="1">
      <c r="D111" s="25"/>
      <c r="E111" s="25"/>
    </row>
    <row r="112" spans="4:5" s="23" customFormat="1">
      <c r="D112" s="25"/>
      <c r="E112" s="25"/>
    </row>
    <row r="113" spans="1:9" s="23" customFormat="1">
      <c r="D113" s="25"/>
      <c r="E113" s="25"/>
    </row>
    <row r="114" spans="1:9" s="23" customFormat="1">
      <c r="D114" s="25"/>
      <c r="E114" s="25"/>
    </row>
    <row r="115" spans="1:9" s="23" customFormat="1">
      <c r="D115" s="25"/>
      <c r="E115" s="25"/>
    </row>
    <row r="116" spans="1:9" s="23" customFormat="1">
      <c r="D116" s="25"/>
      <c r="E116" s="25"/>
    </row>
    <row r="117" spans="1:9" s="23" customFormat="1">
      <c r="D117" s="25"/>
      <c r="E117" s="25"/>
    </row>
    <row r="118" spans="1:9" s="23" customFormat="1">
      <c r="D118" s="25"/>
      <c r="E118" s="25"/>
    </row>
    <row r="119" spans="1:9" s="23" customFormat="1">
      <c r="D119" s="25"/>
      <c r="E119" s="25"/>
    </row>
    <row r="120" spans="1:9">
      <c r="A120" s="23"/>
      <c r="B120" s="23"/>
      <c r="C120" s="23"/>
      <c r="D120" s="25"/>
      <c r="E120" s="25"/>
      <c r="F120" s="23"/>
      <c r="G120" s="23"/>
      <c r="H120" s="23"/>
      <c r="I120" s="23"/>
    </row>
    <row r="121" spans="1:9">
      <c r="A121" s="23"/>
      <c r="B121" s="23"/>
      <c r="C121" s="23"/>
      <c r="D121" s="25"/>
      <c r="E121" s="25"/>
      <c r="F121" s="23"/>
      <c r="G121" s="23"/>
      <c r="H121" s="23"/>
      <c r="I121" s="23"/>
    </row>
    <row r="122" spans="1:9">
      <c r="A122" s="23"/>
      <c r="B122" s="23"/>
      <c r="C122" s="23"/>
      <c r="D122" s="25"/>
      <c r="E122" s="25"/>
      <c r="F122" s="23"/>
      <c r="G122" s="23"/>
      <c r="H122" s="23"/>
      <c r="I122" s="23"/>
    </row>
    <row r="123" spans="1:9">
      <c r="A123" s="23"/>
      <c r="B123" s="23"/>
      <c r="C123" s="23"/>
      <c r="D123" s="25"/>
      <c r="E123" s="25"/>
      <c r="F123" s="23"/>
      <c r="G123" s="23"/>
      <c r="H123" s="23"/>
      <c r="I123" s="23"/>
    </row>
    <row r="124" spans="1:9">
      <c r="A124" s="23"/>
      <c r="B124" s="23"/>
      <c r="C124" s="23"/>
      <c r="D124" s="25"/>
      <c r="E124" s="25"/>
      <c r="F124" s="23"/>
      <c r="G124" s="23"/>
      <c r="H124" s="23"/>
      <c r="I124" s="23"/>
    </row>
    <row r="125" spans="1:9">
      <c r="A125" s="23"/>
      <c r="B125" s="23"/>
      <c r="C125" s="23"/>
      <c r="D125" s="25"/>
      <c r="E125" s="25"/>
      <c r="F125" s="23"/>
      <c r="G125" s="23"/>
      <c r="H125" s="23"/>
      <c r="I125" s="23"/>
    </row>
  </sheetData>
  <mergeCells count="30">
    <mergeCell ref="D54:E54"/>
    <mergeCell ref="D49:E49"/>
    <mergeCell ref="D51:E51"/>
    <mergeCell ref="D19:E19"/>
    <mergeCell ref="D26:E26"/>
    <mergeCell ref="D37:E37"/>
    <mergeCell ref="D46:E46"/>
    <mergeCell ref="D32:E32"/>
    <mergeCell ref="D41:E41"/>
    <mergeCell ref="G22:G24"/>
    <mergeCell ref="H22:H24"/>
    <mergeCell ref="I33:I35"/>
    <mergeCell ref="A22:A24"/>
    <mergeCell ref="B22:B24"/>
    <mergeCell ref="C22:C24"/>
    <mergeCell ref="D22:D24"/>
    <mergeCell ref="E22:E24"/>
    <mergeCell ref="F22:F24"/>
    <mergeCell ref="A1:I2"/>
    <mergeCell ref="D6:E6"/>
    <mergeCell ref="A15:A16"/>
    <mergeCell ref="B15:B16"/>
    <mergeCell ref="C15:C16"/>
    <mergeCell ref="D15:D16"/>
    <mergeCell ref="E15:E16"/>
    <mergeCell ref="F15:F16"/>
    <mergeCell ref="G15:G16"/>
    <mergeCell ref="H15:H16"/>
    <mergeCell ref="D9:E9"/>
    <mergeCell ref="D13:E13"/>
  </mergeCells>
  <phoneticPr fontId="4" type="noConversion"/>
  <dataValidations count="2">
    <dataValidation type="list" showInputMessage="1" showErrorMessage="1" sqref="D14 D17:D18 D25 D27:D31 D33:D36 D10:D12 D20:D21 D38:D40 D42:D45" xr:uid="{AA40DDA5-2FBF-0B41-8EF4-50DBCBD6CAC2}">
      <formula1>"待定,满足,不满足"</formula1>
    </dataValidation>
    <dataValidation type="list" allowBlank="1" showInputMessage="1" showErrorMessage="1" sqref="D22:D24 D15:D16" xr:uid="{972B3F8D-1C80-3E49-9B75-4052C2654A65}">
      <formula1>"待定,满足,不满足"</formula1>
    </dataValidation>
  </dataValidations>
  <hyperlinks>
    <hyperlink ref="I52" r:id="rId1" location="Using_RotateAccessKey" display="https://docs.aws.amazon.com/IAM/latest/UserGuide/id_credentials_access-keys.html - Using_RotateAccessKey" xr:uid="{B09BCD82-83C6-624A-9E45-E9483640D16E}"/>
    <hyperlink ref="I59" r:id="rId2" xr:uid="{834F3645-45FE-264C-96D0-3C92606AC76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摘要</vt:lpstr>
      <vt:lpstr>SPP 技术验证表</vt:lpstr>
    </vt:vector>
  </TitlesOfParts>
  <Company>Amazon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Anand, Eshaan</dc:creator>
  <cp:lastModifiedBy>廣煇 陳</cp:lastModifiedBy>
  <dcterms:created xsi:type="dcterms:W3CDTF">2022-10-18T06:16:41Z</dcterms:created>
  <dcterms:modified xsi:type="dcterms:W3CDTF">2025-12-25T03:51:07Z</dcterms:modified>
</cp:coreProperties>
</file>